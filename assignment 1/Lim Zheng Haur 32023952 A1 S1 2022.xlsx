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028"/>
  <workbookPr defaultThemeVersion="124226"/>
  <mc:AlternateContent xmlns:mc="http://schemas.openxmlformats.org/markup-compatibility/2006">
    <mc:Choice Requires="x15">
      <x15ac:absPath xmlns:x15ac="http://schemas.microsoft.com/office/spreadsheetml/2010/11/ac" url="C:\Users\lzhau\Documents\Monash Uni\2022S1\ETW1001\Assignment1\"/>
    </mc:Choice>
  </mc:AlternateContent>
  <xr:revisionPtr revIDLastSave="0" documentId="13_ncr:1_{CCF880F0-7D66-40B5-885D-CFAFDF01F6D7}" xr6:coauthVersionLast="47" xr6:coauthVersionMax="47" xr10:uidLastSave="{00000000-0000-0000-0000-000000000000}"/>
  <bookViews>
    <workbookView xWindow="-108" yWindow="-108" windowWidth="23256" windowHeight="12456" activeTab="1" xr2:uid="{00000000-000D-0000-FFFF-FFFF00000000}"/>
  </bookViews>
  <sheets>
    <sheet name="Data Part B" sheetId="8" r:id="rId1"/>
    <sheet name="Result Part B" sheetId="16" r:id="rId2"/>
  </sheets>
  <definedNames>
    <definedName name="_xlnm._FilterDatabase" localSheetId="0" hidden="1">'Data Part B'!$A$1:$G$301</definedName>
    <definedName name="_xlnm.Print_Area" localSheetId="0">'Data Part B'!$A$1:$C$11</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S31" i="16" l="1"/>
  <c r="T31" i="16"/>
  <c r="U31" i="16"/>
  <c r="T20" i="16"/>
  <c r="U20" i="16"/>
  <c r="T21" i="16"/>
  <c r="U21" i="16"/>
  <c r="T22" i="16"/>
  <c r="U22" i="16"/>
  <c r="T23" i="16"/>
  <c r="U23" i="16"/>
  <c r="T24" i="16"/>
  <c r="U24" i="16"/>
  <c r="T25" i="16"/>
  <c r="U25" i="16"/>
  <c r="T26" i="16"/>
  <c r="U26" i="16"/>
  <c r="T27" i="16"/>
  <c r="U27" i="16"/>
  <c r="T28" i="16"/>
  <c r="U28" i="16"/>
  <c r="T29" i="16"/>
  <c r="U29" i="16"/>
  <c r="T30" i="16"/>
  <c r="U30" i="16"/>
  <c r="S21" i="16"/>
  <c r="S22" i="16"/>
  <c r="S23" i="16"/>
  <c r="S24" i="16"/>
  <c r="S25" i="16"/>
  <c r="S26" i="16"/>
  <c r="S27" i="16"/>
  <c r="S28" i="16"/>
  <c r="S29" i="16"/>
  <c r="S30" i="16"/>
  <c r="S20" i="16"/>
  <c r="P31" i="16"/>
  <c r="Q31" i="16"/>
  <c r="R31" i="16"/>
  <c r="Q20" i="16"/>
  <c r="R20" i="16"/>
  <c r="Q21" i="16"/>
  <c r="R21" i="16"/>
  <c r="Q22" i="16"/>
  <c r="R22" i="16"/>
  <c r="Q23" i="16"/>
  <c r="R23" i="16"/>
  <c r="Q24" i="16"/>
  <c r="R24" i="16"/>
  <c r="Q25" i="16"/>
  <c r="R25" i="16"/>
  <c r="Q26" i="16"/>
  <c r="R26" i="16"/>
  <c r="Q27" i="16"/>
  <c r="R27" i="16"/>
  <c r="Q28" i="16"/>
  <c r="R28" i="16"/>
  <c r="Q29" i="16"/>
  <c r="R29" i="16"/>
  <c r="Q30" i="16"/>
  <c r="R30" i="16"/>
  <c r="P21" i="16"/>
  <c r="P22" i="16"/>
  <c r="P23" i="16"/>
  <c r="P24" i="16"/>
  <c r="P25" i="16"/>
  <c r="P26" i="16"/>
  <c r="P27" i="16"/>
  <c r="P28" i="16"/>
  <c r="P29" i="16"/>
  <c r="P30" i="16"/>
  <c r="P20" i="16"/>
  <c r="M31" i="16"/>
  <c r="N31" i="16"/>
  <c r="O31" i="16"/>
  <c r="B4" i="16"/>
  <c r="B5" i="16"/>
  <c r="B6" i="16"/>
  <c r="B7" i="16"/>
  <c r="C4" i="16"/>
  <c r="C5" i="16"/>
  <c r="C6" i="16"/>
  <c r="C7" i="16"/>
</calcChain>
</file>

<file path=xl/sharedStrings.xml><?xml version="1.0" encoding="utf-8"?>
<sst xmlns="http://schemas.openxmlformats.org/spreadsheetml/2006/main" count="353" uniqueCount="38">
  <si>
    <t>Restaurant</t>
  </si>
  <si>
    <t>Quality Rating</t>
  </si>
  <si>
    <t>Good</t>
  </si>
  <si>
    <t>Very Good</t>
  </si>
  <si>
    <t>Excellent</t>
  </si>
  <si>
    <t>Wait Time (min)</t>
  </si>
  <si>
    <t>Very</t>
  </si>
  <si>
    <t>Total</t>
  </si>
  <si>
    <t>Lower bound</t>
  </si>
  <si>
    <t>Upper bound</t>
  </si>
  <si>
    <t>Midpoint</t>
  </si>
  <si>
    <t>Frequency</t>
  </si>
  <si>
    <t>Table (a)</t>
  </si>
  <si>
    <t>Summary Statistics</t>
  </si>
  <si>
    <t>Percentage</t>
  </si>
  <si>
    <t>Graph (b)</t>
  </si>
  <si>
    <t>Percentage Frequency</t>
  </si>
  <si>
    <t>Cumulative Percentage Frequency</t>
  </si>
  <si>
    <t>Table (c)</t>
  </si>
  <si>
    <t>Textbox (g)</t>
  </si>
  <si>
    <t>Textbox (e)</t>
  </si>
  <si>
    <t>Graph (f) Percentage Frequency Polygons</t>
  </si>
  <si>
    <t>Meal Price (RM)</t>
  </si>
  <si>
    <t>Textbox (h)</t>
  </si>
  <si>
    <t xml:space="preserve">Category </t>
  </si>
  <si>
    <t>Mean</t>
  </si>
  <si>
    <t>Standard Error</t>
  </si>
  <si>
    <t>Median</t>
  </si>
  <si>
    <t>Mode</t>
  </si>
  <si>
    <t>Standard Deviation</t>
  </si>
  <si>
    <t>Sample Variance</t>
  </si>
  <si>
    <t>Kurtosis</t>
  </si>
  <si>
    <t>Skewness</t>
  </si>
  <si>
    <t>Range</t>
  </si>
  <si>
    <t>Minimum</t>
  </si>
  <si>
    <t>Maximum</t>
  </si>
  <si>
    <t>Sum</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</si>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</sst>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7" x14ac:knownFonts="1">
    <font>
      <sz val="12"/>
      <name val="Times New Roman"/>
    </font>
    <font>
      <b/>
      <sz val="12"/>
      <name val="Times New Roman"/>
      <family val="1"/>
    </font>
    <font>
      <sz val="12"/>
      <name val="Times New Roman"/>
      <family val="1"/>
    </font>
    <font>
      <sz val="10"/>
      <name val="Arial"/>
      <family val="2"/>
    </font>
    <font>
      <sz val="10"/>
      <name val="Arial"/>
      <family val="2"/>
    </font>
    <font>
      <sz val="12"/>
      <name val="Times New Roman"/>
      <family val="1"/>
    </font>
    <font>
      <sz val="12"/>
      <color rgb="FF000000"/>
      <name val="Times New Roman"/>
      <family val="1"/>
    </font>
  </fonts>
  <fills count="8">
    <fill>
      <patternFill patternType="none"/>
    </fill>
    <fill>
      <patternFill patternType="gray125"/>
    </fill>
    <fill>
      <patternFill patternType="solid">
        <fgColor theme="3" tint="0.79998168889431442"/>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0" tint="-0.34998626667073579"/>
        <bgColor indexed="64"/>
      </patternFill>
    </fill>
  </fills>
  <borders count="17">
    <border>
      <left/>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0">
    <xf numFmtId="0" fontId="0" fillId="0" borderId="0"/>
    <xf numFmtId="0" fontId="3" fillId="0" borderId="0"/>
    <xf numFmtId="9" fontId="3" fillId="0" borderId="0" applyFont="0" applyFill="0" applyBorder="0" applyAlignment="0" applyProtection="0"/>
    <xf numFmtId="0" fontId="4" fillId="0" borderId="0"/>
    <xf numFmtId="9" fontId="4" fillId="0" borderId="0" applyFont="0" applyFill="0" applyBorder="0" applyAlignment="0" applyProtection="0"/>
    <xf numFmtId="0" fontId="2" fillId="0" borderId="0"/>
    <xf numFmtId="9" fontId="5" fillId="0" borderId="0" applyFont="0" applyFill="0" applyBorder="0" applyAlignment="0" applyProtection="0"/>
    <xf numFmtId="0" fontId="2" fillId="0" borderId="0"/>
    <xf numFmtId="0" fontId="3" fillId="0" borderId="0"/>
    <xf numFmtId="9" fontId="3" fillId="0" borderId="0" applyFont="0" applyFill="0" applyBorder="0" applyAlignment="0" applyProtection="0"/>
  </cellStyleXfs>
  <cellXfs count="70">
    <xf numFmtId="0" fontId="0" fillId="0" borderId="0" xfId="0"/>
    <xf numFmtId="0" fontId="0" fillId="0" borderId="0" xfId="0" applyAlignment="1">
      <alignment horizontal="center"/>
    </xf>
    <xf numFmtId="0" fontId="0" fillId="0" borderId="0" xfId="0" applyAlignment="1">
      <alignment horizontal="left"/>
    </xf>
    <xf numFmtId="0" fontId="0" fillId="0" borderId="0" xfId="0" applyAlignment="1">
      <alignment horizontal="right"/>
    </xf>
    <xf numFmtId="0" fontId="1" fillId="0" borderId="0" xfId="0" applyFont="1" applyBorder="1" applyAlignment="1">
      <alignment horizontal="center"/>
    </xf>
    <xf numFmtId="0" fontId="1" fillId="0" borderId="0" xfId="0" applyFont="1" applyBorder="1" applyAlignment="1">
      <alignment horizontal="center" wrapText="1"/>
    </xf>
    <xf numFmtId="0" fontId="2" fillId="0" borderId="0" xfId="0" applyFont="1"/>
    <xf numFmtId="0" fontId="2" fillId="0" borderId="0" xfId="0" applyFont="1" applyAlignment="1">
      <alignment horizontal="left"/>
    </xf>
    <xf numFmtId="0" fontId="1" fillId="0" borderId="0" xfId="0" applyFont="1" applyFill="1" applyBorder="1" applyAlignment="1">
      <alignment horizontal="center" wrapText="1"/>
    </xf>
    <xf numFmtId="0" fontId="3" fillId="0" borderId="0" xfId="1"/>
    <xf numFmtId="0" fontId="3" fillId="0" borderId="0" xfId="1" applyAlignment="1">
      <alignment horizontal="center" wrapText="1"/>
    </xf>
    <xf numFmtId="0" fontId="3" fillId="0" borderId="0" xfId="1" applyFont="1"/>
    <xf numFmtId="0" fontId="3" fillId="0" borderId="0" xfId="1" applyFont="1" applyAlignment="1">
      <alignment horizontal="center"/>
    </xf>
    <xf numFmtId="0" fontId="3" fillId="0" borderId="0" xfId="1" applyFont="1" applyAlignment="1">
      <alignment horizontal="center" wrapText="1"/>
    </xf>
    <xf numFmtId="0" fontId="2" fillId="0" borderId="0" xfId="7" applyFont="1"/>
    <xf numFmtId="0" fontId="2" fillId="0" borderId="0" xfId="7" applyFont="1" applyAlignment="1">
      <alignment horizontal="left"/>
    </xf>
    <xf numFmtId="165" fontId="2" fillId="0" borderId="0" xfId="6" applyNumberFormat="1" applyFont="1"/>
    <xf numFmtId="0" fontId="2" fillId="0" borderId="0" xfId="1" applyFont="1"/>
    <xf numFmtId="0" fontId="2" fillId="0" borderId="0" xfId="1" applyFont="1" applyAlignment="1">
      <alignment horizontal="center"/>
    </xf>
    <xf numFmtId="0" fontId="2" fillId="0" borderId="0" xfId="1" applyFont="1" applyAlignment="1">
      <alignment horizontal="center" wrapText="1"/>
    </xf>
    <xf numFmtId="1" fontId="2" fillId="0" borderId="0" xfId="1" applyNumberFormat="1" applyFont="1"/>
    <xf numFmtId="10" fontId="2" fillId="0" borderId="0" xfId="1" applyNumberFormat="1" applyFont="1"/>
    <xf numFmtId="164" fontId="2" fillId="0" borderId="0" xfId="1" applyNumberFormat="1" applyFont="1"/>
    <xf numFmtId="0" fontId="2" fillId="0" borderId="1" xfId="0" applyFont="1" applyBorder="1"/>
    <xf numFmtId="0" fontId="2" fillId="0" borderId="0" xfId="0" applyNumberFormat="1" applyFont="1"/>
    <xf numFmtId="0" fontId="2" fillId="7" borderId="0" xfId="0" applyFont="1" applyFill="1"/>
    <xf numFmtId="0" fontId="1" fillId="2" borderId="0" xfId="1" applyFont="1" applyFill="1"/>
    <xf numFmtId="0" fontId="2" fillId="4" borderId="0" xfId="1" applyFont="1" applyFill="1"/>
    <xf numFmtId="0" fontId="2" fillId="6" borderId="0" xfId="1" applyFont="1" applyFill="1"/>
    <xf numFmtId="0" fontId="2" fillId="0" borderId="0" xfId="1" applyFont="1" applyAlignment="1">
      <alignment wrapText="1"/>
    </xf>
    <xf numFmtId="0" fontId="1" fillId="0" borderId="9" xfId="1" applyFont="1" applyBorder="1" applyAlignment="1">
      <alignment wrapText="1"/>
    </xf>
    <xf numFmtId="0" fontId="2" fillId="0" borderId="9" xfId="1" applyFont="1" applyBorder="1"/>
    <xf numFmtId="0" fontId="2" fillId="0" borderId="8" xfId="1" applyFont="1" applyBorder="1"/>
    <xf numFmtId="0" fontId="2" fillId="0" borderId="7" xfId="1" applyFont="1" applyBorder="1"/>
    <xf numFmtId="0" fontId="2" fillId="0" borderId="6" xfId="1" applyFont="1" applyBorder="1"/>
    <xf numFmtId="9" fontId="2" fillId="0" borderId="0" xfId="2" applyFont="1"/>
    <xf numFmtId="0" fontId="2" fillId="0" borderId="5" xfId="1" applyFont="1" applyBorder="1"/>
    <xf numFmtId="0" fontId="2" fillId="0" borderId="0" xfId="1" applyFont="1" applyBorder="1"/>
    <xf numFmtId="0" fontId="2" fillId="0" borderId="4" xfId="1" applyFont="1" applyBorder="1"/>
    <xf numFmtId="0" fontId="1" fillId="3" borderId="0" xfId="1" applyFont="1" applyFill="1"/>
    <xf numFmtId="0" fontId="2" fillId="0" borderId="3" xfId="1" applyFont="1" applyBorder="1"/>
    <xf numFmtId="0" fontId="2" fillId="0" borderId="1" xfId="1" applyFont="1" applyBorder="1"/>
    <xf numFmtId="0" fontId="2" fillId="0" borderId="2" xfId="1" applyFont="1" applyBorder="1"/>
    <xf numFmtId="0" fontId="1" fillId="0" borderId="0" xfId="1" applyFont="1"/>
    <xf numFmtId="164" fontId="2" fillId="0" borderId="0" xfId="2" applyNumberFormat="1" applyFont="1"/>
    <xf numFmtId="0" fontId="6" fillId="5" borderId="0" xfId="0" applyFont="1" applyFill="1" applyAlignment="1">
      <alignment horizontal="left" vertical="center" readingOrder="1"/>
    </xf>
    <xf numFmtId="0" fontId="6" fillId="0" borderId="0" xfId="0" applyFont="1" applyAlignment="1">
      <alignment horizontal="left" vertical="center" readingOrder="1"/>
    </xf>
    <xf numFmtId="0" fontId="2" fillId="0" borderId="0" xfId="1" applyFont="1" applyFill="1"/>
    <xf numFmtId="0" fontId="2" fillId="0" borderId="10" xfId="1" applyFont="1" applyBorder="1"/>
    <xf numFmtId="0" fontId="2" fillId="0" borderId="10" xfId="0" applyFont="1" applyBorder="1"/>
    <xf numFmtId="0" fontId="2" fillId="0" borderId="12" xfId="1" applyFont="1" applyBorder="1"/>
    <xf numFmtId="0" fontId="2" fillId="0" borderId="11" xfId="1" applyFont="1" applyBorder="1"/>
    <xf numFmtId="1" fontId="2" fillId="0" borderId="11" xfId="1" applyNumberFormat="1" applyFont="1" applyBorder="1"/>
    <xf numFmtId="0" fontId="2" fillId="0" borderId="11" xfId="0" applyFont="1" applyBorder="1"/>
    <xf numFmtId="10" fontId="2" fillId="0" borderId="11" xfId="0" applyNumberFormat="1" applyFont="1" applyBorder="1"/>
    <xf numFmtId="10" fontId="2" fillId="0" borderId="11" xfId="1" applyNumberFormat="1" applyFont="1" applyBorder="1"/>
    <xf numFmtId="0" fontId="2" fillId="0" borderId="12" xfId="0" applyFont="1" applyBorder="1"/>
    <xf numFmtId="0" fontId="2" fillId="0" borderId="14" xfId="1" applyFont="1" applyBorder="1"/>
    <xf numFmtId="0" fontId="2" fillId="0" borderId="15" xfId="1" applyFont="1" applyBorder="1" applyAlignment="1">
      <alignment horizontal="center"/>
    </xf>
    <xf numFmtId="0" fontId="2" fillId="0" borderId="15" xfId="0" applyFont="1" applyBorder="1"/>
    <xf numFmtId="0" fontId="2" fillId="0" borderId="13" xfId="1" applyFont="1" applyBorder="1" applyAlignment="1"/>
    <xf numFmtId="0" fontId="2" fillId="0" borderId="15" xfId="1" applyFont="1" applyBorder="1" applyAlignment="1"/>
    <xf numFmtId="0" fontId="2" fillId="0" borderId="13" xfId="1" applyFont="1" applyBorder="1" applyAlignment="1">
      <alignment horizontal="center" wrapText="1"/>
    </xf>
    <xf numFmtId="0" fontId="2" fillId="0" borderId="15" xfId="1" applyFont="1" applyBorder="1" applyAlignment="1">
      <alignment horizontal="center" wrapText="1"/>
    </xf>
    <xf numFmtId="0" fontId="2" fillId="0" borderId="16" xfId="0" applyFont="1" applyBorder="1"/>
    <xf numFmtId="0" fontId="2" fillId="0" borderId="15" xfId="0" applyFont="1" applyFill="1" applyBorder="1" applyAlignment="1"/>
    <xf numFmtId="1" fontId="2" fillId="0" borderId="12" xfId="1" applyNumberFormat="1" applyFont="1" applyBorder="1"/>
    <xf numFmtId="10" fontId="2" fillId="0" borderId="12" xfId="1" applyNumberFormat="1" applyFont="1" applyBorder="1"/>
    <xf numFmtId="10" fontId="2" fillId="0" borderId="12" xfId="0" applyNumberFormat="1" applyFont="1" applyBorder="1"/>
    <xf numFmtId="0" fontId="1" fillId="0" borderId="0" xfId="1" applyFont="1" applyAlignment="1">
      <alignment horizontal="center"/>
    </xf>
  </cellXfs>
  <cellStyles count="10">
    <cellStyle name="Normal" xfId="0" builtinId="0"/>
    <cellStyle name="Normal 2" xfId="1" xr:uid="{00000000-0005-0000-0000-000001000000}"/>
    <cellStyle name="Normal 3" xfId="5" xr:uid="{00000000-0005-0000-0000-000002000000}"/>
    <cellStyle name="Normal 4" xfId="3" xr:uid="{00000000-0005-0000-0000-000003000000}"/>
    <cellStyle name="Normal 4 2" xfId="8" xr:uid="{00000000-0005-0000-0000-000004000000}"/>
    <cellStyle name="Normal 5" xfId="7" xr:uid="{00000000-0005-0000-0000-000005000000}"/>
    <cellStyle name="Percent" xfId="6" builtinId="5"/>
    <cellStyle name="Percent 2" xfId="2" xr:uid="{00000000-0005-0000-0000-000007000000}"/>
    <cellStyle name="Percent 3" xfId="4" xr:uid="{00000000-0005-0000-0000-000008000000}"/>
    <cellStyle name="Percent 3 2" xfId="9"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scatterChart>
        <c:scatterStyle val="lineMarker"/>
        <c:varyColors val="0"/>
        <c:ser>
          <c:idx val="0"/>
          <c:order val="0"/>
          <c:tx>
            <c:strRef>
              <c:f>'Data Part B'!$D$1</c:f>
              <c:strCache>
                <c:ptCount val="1"/>
                <c:pt idx="0">
                  <c:v>Wait Time (min)</c:v>
                </c:pt>
              </c:strCache>
            </c:strRef>
          </c:tx>
          <c:spPr>
            <a:ln w="28575">
              <a:noFill/>
            </a:ln>
          </c:spPr>
          <c:xVal>
            <c:numRef>
              <c:f>'Data Part B'!$C$2:$C$301</c:f>
              <c:numCache>
                <c:formatCode>General</c:formatCode>
                <c:ptCount val="300"/>
                <c:pt idx="0">
                  <c:v>18</c:v>
                </c:pt>
                <c:pt idx="1">
                  <c:v>22</c:v>
                </c:pt>
                <c:pt idx="2">
                  <c:v>28</c:v>
                </c:pt>
                <c:pt idx="3">
                  <c:v>33</c:v>
                </c:pt>
                <c:pt idx="4">
                  <c:v>28</c:v>
                </c:pt>
                <c:pt idx="5">
                  <c:v>19</c:v>
                </c:pt>
                <c:pt idx="6">
                  <c:v>11</c:v>
                </c:pt>
                <c:pt idx="7">
                  <c:v>23</c:v>
                </c:pt>
                <c:pt idx="8">
                  <c:v>13</c:v>
                </c:pt>
                <c:pt idx="9">
                  <c:v>33</c:v>
                </c:pt>
                <c:pt idx="10">
                  <c:v>44</c:v>
                </c:pt>
                <c:pt idx="11">
                  <c:v>55</c:v>
                </c:pt>
                <c:pt idx="12">
                  <c:v>22</c:v>
                </c:pt>
                <c:pt idx="13">
                  <c:v>26</c:v>
                </c:pt>
                <c:pt idx="14">
                  <c:v>30</c:v>
                </c:pt>
                <c:pt idx="15">
                  <c:v>19</c:v>
                </c:pt>
                <c:pt idx="16">
                  <c:v>33</c:v>
                </c:pt>
                <c:pt idx="17">
                  <c:v>22</c:v>
                </c:pt>
                <c:pt idx="18">
                  <c:v>34</c:v>
                </c:pt>
                <c:pt idx="19">
                  <c:v>38</c:v>
                </c:pt>
                <c:pt idx="20">
                  <c:v>27</c:v>
                </c:pt>
                <c:pt idx="21">
                  <c:v>27</c:v>
                </c:pt>
                <c:pt idx="22">
                  <c:v>26</c:v>
                </c:pt>
                <c:pt idx="23">
                  <c:v>34</c:v>
                </c:pt>
                <c:pt idx="24">
                  <c:v>35</c:v>
                </c:pt>
                <c:pt idx="25">
                  <c:v>25</c:v>
                </c:pt>
                <c:pt idx="26">
                  <c:v>26</c:v>
                </c:pt>
                <c:pt idx="27">
                  <c:v>10</c:v>
                </c:pt>
                <c:pt idx="28">
                  <c:v>12</c:v>
                </c:pt>
                <c:pt idx="29">
                  <c:v>15</c:v>
                </c:pt>
                <c:pt idx="30">
                  <c:v>7</c:v>
                </c:pt>
                <c:pt idx="31">
                  <c:v>32</c:v>
                </c:pt>
                <c:pt idx="32">
                  <c:v>14</c:v>
                </c:pt>
                <c:pt idx="33">
                  <c:v>17</c:v>
                </c:pt>
                <c:pt idx="34">
                  <c:v>20</c:v>
                </c:pt>
                <c:pt idx="35">
                  <c:v>38</c:v>
                </c:pt>
                <c:pt idx="36">
                  <c:v>10</c:v>
                </c:pt>
                <c:pt idx="37">
                  <c:v>10</c:v>
                </c:pt>
                <c:pt idx="38">
                  <c:v>34</c:v>
                </c:pt>
                <c:pt idx="39">
                  <c:v>31</c:v>
                </c:pt>
                <c:pt idx="40">
                  <c:v>22</c:v>
                </c:pt>
                <c:pt idx="41">
                  <c:v>28</c:v>
                </c:pt>
                <c:pt idx="42">
                  <c:v>10</c:v>
                </c:pt>
                <c:pt idx="43">
                  <c:v>27</c:v>
                </c:pt>
                <c:pt idx="44">
                  <c:v>35</c:v>
                </c:pt>
                <c:pt idx="45">
                  <c:v>11</c:v>
                </c:pt>
                <c:pt idx="46">
                  <c:v>18</c:v>
                </c:pt>
                <c:pt idx="47">
                  <c:v>48</c:v>
                </c:pt>
                <c:pt idx="48">
                  <c:v>12</c:v>
                </c:pt>
                <c:pt idx="49">
                  <c:v>20</c:v>
                </c:pt>
                <c:pt idx="50">
                  <c:v>38</c:v>
                </c:pt>
                <c:pt idx="51">
                  <c:v>36</c:v>
                </c:pt>
                <c:pt idx="52">
                  <c:v>37</c:v>
                </c:pt>
                <c:pt idx="53">
                  <c:v>24</c:v>
                </c:pt>
                <c:pt idx="54">
                  <c:v>18</c:v>
                </c:pt>
                <c:pt idx="55">
                  <c:v>34</c:v>
                </c:pt>
                <c:pt idx="56">
                  <c:v>28</c:v>
                </c:pt>
                <c:pt idx="57">
                  <c:v>25</c:v>
                </c:pt>
                <c:pt idx="58">
                  <c:v>25</c:v>
                </c:pt>
                <c:pt idx="59">
                  <c:v>30</c:v>
                </c:pt>
                <c:pt idx="60">
                  <c:v>21</c:v>
                </c:pt>
                <c:pt idx="61">
                  <c:v>16</c:v>
                </c:pt>
                <c:pt idx="62">
                  <c:v>23</c:v>
                </c:pt>
                <c:pt idx="63">
                  <c:v>14</c:v>
                </c:pt>
                <c:pt idx="64">
                  <c:v>11</c:v>
                </c:pt>
                <c:pt idx="65">
                  <c:v>20</c:v>
                </c:pt>
                <c:pt idx="66">
                  <c:v>32</c:v>
                </c:pt>
                <c:pt idx="67">
                  <c:v>24</c:v>
                </c:pt>
                <c:pt idx="68">
                  <c:v>14</c:v>
                </c:pt>
                <c:pt idx="69">
                  <c:v>24</c:v>
                </c:pt>
                <c:pt idx="70">
                  <c:v>23</c:v>
                </c:pt>
                <c:pt idx="71">
                  <c:v>28</c:v>
                </c:pt>
                <c:pt idx="72">
                  <c:v>17</c:v>
                </c:pt>
                <c:pt idx="73">
                  <c:v>16</c:v>
                </c:pt>
                <c:pt idx="74">
                  <c:v>27</c:v>
                </c:pt>
                <c:pt idx="75">
                  <c:v>45</c:v>
                </c:pt>
                <c:pt idx="76">
                  <c:v>19</c:v>
                </c:pt>
                <c:pt idx="77">
                  <c:v>25</c:v>
                </c:pt>
                <c:pt idx="78">
                  <c:v>25</c:v>
                </c:pt>
                <c:pt idx="79">
                  <c:v>20</c:v>
                </c:pt>
                <c:pt idx="80">
                  <c:v>27</c:v>
                </c:pt>
                <c:pt idx="81">
                  <c:v>28</c:v>
                </c:pt>
                <c:pt idx="82">
                  <c:v>20</c:v>
                </c:pt>
                <c:pt idx="83">
                  <c:v>31</c:v>
                </c:pt>
                <c:pt idx="84">
                  <c:v>26</c:v>
                </c:pt>
                <c:pt idx="85">
                  <c:v>38</c:v>
                </c:pt>
                <c:pt idx="86">
                  <c:v>15</c:v>
                </c:pt>
                <c:pt idx="87">
                  <c:v>25</c:v>
                </c:pt>
                <c:pt idx="88">
                  <c:v>40</c:v>
                </c:pt>
                <c:pt idx="89">
                  <c:v>35</c:v>
                </c:pt>
                <c:pt idx="90">
                  <c:v>20</c:v>
                </c:pt>
                <c:pt idx="91">
                  <c:v>23</c:v>
                </c:pt>
                <c:pt idx="92">
                  <c:v>13</c:v>
                </c:pt>
                <c:pt idx="93">
                  <c:v>20</c:v>
                </c:pt>
                <c:pt idx="94">
                  <c:v>20</c:v>
                </c:pt>
                <c:pt idx="95">
                  <c:v>10</c:v>
                </c:pt>
                <c:pt idx="96">
                  <c:v>17</c:v>
                </c:pt>
                <c:pt idx="97">
                  <c:v>20</c:v>
                </c:pt>
                <c:pt idx="98">
                  <c:v>21</c:v>
                </c:pt>
                <c:pt idx="99">
                  <c:v>28</c:v>
                </c:pt>
                <c:pt idx="100">
                  <c:v>31</c:v>
                </c:pt>
                <c:pt idx="101">
                  <c:v>18</c:v>
                </c:pt>
                <c:pt idx="102">
                  <c:v>27</c:v>
                </c:pt>
                <c:pt idx="103">
                  <c:v>23</c:v>
                </c:pt>
                <c:pt idx="104">
                  <c:v>32</c:v>
                </c:pt>
                <c:pt idx="105">
                  <c:v>25</c:v>
                </c:pt>
                <c:pt idx="106">
                  <c:v>28</c:v>
                </c:pt>
                <c:pt idx="107">
                  <c:v>19</c:v>
                </c:pt>
                <c:pt idx="108">
                  <c:v>14</c:v>
                </c:pt>
                <c:pt idx="109">
                  <c:v>19</c:v>
                </c:pt>
                <c:pt idx="110">
                  <c:v>18</c:v>
                </c:pt>
                <c:pt idx="111">
                  <c:v>16</c:v>
                </c:pt>
                <c:pt idx="112">
                  <c:v>42</c:v>
                </c:pt>
                <c:pt idx="113">
                  <c:v>12</c:v>
                </c:pt>
                <c:pt idx="114">
                  <c:v>14</c:v>
                </c:pt>
                <c:pt idx="115">
                  <c:v>26</c:v>
                </c:pt>
                <c:pt idx="116">
                  <c:v>15</c:v>
                </c:pt>
                <c:pt idx="117">
                  <c:v>14</c:v>
                </c:pt>
                <c:pt idx="118">
                  <c:v>20</c:v>
                </c:pt>
                <c:pt idx="119">
                  <c:v>30</c:v>
                </c:pt>
                <c:pt idx="120">
                  <c:v>16</c:v>
                </c:pt>
                <c:pt idx="121">
                  <c:v>21</c:v>
                </c:pt>
                <c:pt idx="122">
                  <c:v>30</c:v>
                </c:pt>
                <c:pt idx="123">
                  <c:v>31</c:v>
                </c:pt>
                <c:pt idx="124">
                  <c:v>28</c:v>
                </c:pt>
                <c:pt idx="125">
                  <c:v>19</c:v>
                </c:pt>
                <c:pt idx="126">
                  <c:v>17</c:v>
                </c:pt>
                <c:pt idx="127">
                  <c:v>21</c:v>
                </c:pt>
                <c:pt idx="128">
                  <c:v>11</c:v>
                </c:pt>
                <c:pt idx="129">
                  <c:v>13</c:v>
                </c:pt>
                <c:pt idx="130">
                  <c:v>19</c:v>
                </c:pt>
                <c:pt idx="131">
                  <c:v>35</c:v>
                </c:pt>
                <c:pt idx="132">
                  <c:v>28</c:v>
                </c:pt>
                <c:pt idx="133">
                  <c:v>13</c:v>
                </c:pt>
                <c:pt idx="134">
                  <c:v>32</c:v>
                </c:pt>
                <c:pt idx="135">
                  <c:v>33</c:v>
                </c:pt>
                <c:pt idx="136">
                  <c:v>37</c:v>
                </c:pt>
                <c:pt idx="137">
                  <c:v>28</c:v>
                </c:pt>
                <c:pt idx="138">
                  <c:v>24</c:v>
                </c:pt>
                <c:pt idx="139">
                  <c:v>10</c:v>
                </c:pt>
                <c:pt idx="140">
                  <c:v>36</c:v>
                </c:pt>
                <c:pt idx="141">
                  <c:v>37</c:v>
                </c:pt>
                <c:pt idx="142">
                  <c:v>25</c:v>
                </c:pt>
                <c:pt idx="143">
                  <c:v>11</c:v>
                </c:pt>
                <c:pt idx="144">
                  <c:v>11</c:v>
                </c:pt>
                <c:pt idx="145">
                  <c:v>11</c:v>
                </c:pt>
                <c:pt idx="146">
                  <c:v>10</c:v>
                </c:pt>
                <c:pt idx="147">
                  <c:v>29</c:v>
                </c:pt>
                <c:pt idx="148">
                  <c:v>14</c:v>
                </c:pt>
                <c:pt idx="149">
                  <c:v>21</c:v>
                </c:pt>
                <c:pt idx="150">
                  <c:v>28</c:v>
                </c:pt>
                <c:pt idx="151">
                  <c:v>42</c:v>
                </c:pt>
                <c:pt idx="152">
                  <c:v>30</c:v>
                </c:pt>
                <c:pt idx="153">
                  <c:v>22</c:v>
                </c:pt>
                <c:pt idx="154">
                  <c:v>23</c:v>
                </c:pt>
                <c:pt idx="155">
                  <c:v>27</c:v>
                </c:pt>
                <c:pt idx="156">
                  <c:v>13</c:v>
                </c:pt>
                <c:pt idx="157">
                  <c:v>28</c:v>
                </c:pt>
                <c:pt idx="158">
                  <c:v>12</c:v>
                </c:pt>
                <c:pt idx="159">
                  <c:v>30</c:v>
                </c:pt>
                <c:pt idx="160">
                  <c:v>17</c:v>
                </c:pt>
                <c:pt idx="161">
                  <c:v>20</c:v>
                </c:pt>
                <c:pt idx="162">
                  <c:v>20</c:v>
                </c:pt>
                <c:pt idx="163">
                  <c:v>26</c:v>
                </c:pt>
                <c:pt idx="164">
                  <c:v>18</c:v>
                </c:pt>
                <c:pt idx="165">
                  <c:v>13</c:v>
                </c:pt>
                <c:pt idx="166">
                  <c:v>25</c:v>
                </c:pt>
                <c:pt idx="167">
                  <c:v>22</c:v>
                </c:pt>
                <c:pt idx="168">
                  <c:v>27</c:v>
                </c:pt>
                <c:pt idx="169">
                  <c:v>21</c:v>
                </c:pt>
                <c:pt idx="170">
                  <c:v>32</c:v>
                </c:pt>
                <c:pt idx="171">
                  <c:v>16</c:v>
                </c:pt>
                <c:pt idx="172">
                  <c:v>20</c:v>
                </c:pt>
                <c:pt idx="173">
                  <c:v>27</c:v>
                </c:pt>
                <c:pt idx="174">
                  <c:v>35</c:v>
                </c:pt>
                <c:pt idx="175">
                  <c:v>21</c:v>
                </c:pt>
                <c:pt idx="176">
                  <c:v>30</c:v>
                </c:pt>
                <c:pt idx="177">
                  <c:v>23</c:v>
                </c:pt>
                <c:pt idx="178">
                  <c:v>19</c:v>
                </c:pt>
                <c:pt idx="179">
                  <c:v>18</c:v>
                </c:pt>
                <c:pt idx="180">
                  <c:v>29</c:v>
                </c:pt>
                <c:pt idx="181">
                  <c:v>20</c:v>
                </c:pt>
                <c:pt idx="182">
                  <c:v>17</c:v>
                </c:pt>
                <c:pt idx="183">
                  <c:v>45</c:v>
                </c:pt>
                <c:pt idx="184">
                  <c:v>20</c:v>
                </c:pt>
                <c:pt idx="185">
                  <c:v>26</c:v>
                </c:pt>
                <c:pt idx="186">
                  <c:v>16</c:v>
                </c:pt>
                <c:pt idx="187">
                  <c:v>23</c:v>
                </c:pt>
                <c:pt idx="188">
                  <c:v>23</c:v>
                </c:pt>
                <c:pt idx="189">
                  <c:v>20</c:v>
                </c:pt>
                <c:pt idx="190">
                  <c:v>38</c:v>
                </c:pt>
                <c:pt idx="191">
                  <c:v>-5</c:v>
                </c:pt>
                <c:pt idx="192">
                  <c:v>26</c:v>
                </c:pt>
                <c:pt idx="193">
                  <c:v>24</c:v>
                </c:pt>
                <c:pt idx="194">
                  <c:v>21</c:v>
                </c:pt>
                <c:pt idx="195">
                  <c:v>25</c:v>
                </c:pt>
                <c:pt idx="196">
                  <c:v>28</c:v>
                </c:pt>
                <c:pt idx="197">
                  <c:v>13</c:v>
                </c:pt>
                <c:pt idx="198">
                  <c:v>27</c:v>
                </c:pt>
                <c:pt idx="199">
                  <c:v>15</c:v>
                </c:pt>
                <c:pt idx="200">
                  <c:v>11</c:v>
                </c:pt>
                <c:pt idx="201">
                  <c:v>28</c:v>
                </c:pt>
                <c:pt idx="202">
                  <c:v>32</c:v>
                </c:pt>
                <c:pt idx="203">
                  <c:v>12</c:v>
                </c:pt>
                <c:pt idx="204">
                  <c:v>37</c:v>
                </c:pt>
                <c:pt idx="205">
                  <c:v>21</c:v>
                </c:pt>
                <c:pt idx="206">
                  <c:v>37</c:v>
                </c:pt>
                <c:pt idx="207">
                  <c:v>21</c:v>
                </c:pt>
                <c:pt idx="208">
                  <c:v>16</c:v>
                </c:pt>
                <c:pt idx="209">
                  <c:v>33</c:v>
                </c:pt>
                <c:pt idx="210">
                  <c:v>33</c:v>
                </c:pt>
                <c:pt idx="211">
                  <c:v>25</c:v>
                </c:pt>
                <c:pt idx="212">
                  <c:v>34</c:v>
                </c:pt>
                <c:pt idx="213">
                  <c:v>20</c:v>
                </c:pt>
                <c:pt idx="214">
                  <c:v>13</c:v>
                </c:pt>
                <c:pt idx="215">
                  <c:v>12</c:v>
                </c:pt>
                <c:pt idx="216">
                  <c:v>27</c:v>
                </c:pt>
                <c:pt idx="217">
                  <c:v>20</c:v>
                </c:pt>
                <c:pt idx="218">
                  <c:v>29</c:v>
                </c:pt>
                <c:pt idx="219">
                  <c:v>22</c:v>
                </c:pt>
                <c:pt idx="220">
                  <c:v>27</c:v>
                </c:pt>
                <c:pt idx="221">
                  <c:v>20</c:v>
                </c:pt>
                <c:pt idx="222">
                  <c:v>27</c:v>
                </c:pt>
                <c:pt idx="223">
                  <c:v>23</c:v>
                </c:pt>
                <c:pt idx="224">
                  <c:v>16</c:v>
                </c:pt>
                <c:pt idx="225">
                  <c:v>23</c:v>
                </c:pt>
                <c:pt idx="226">
                  <c:v>24</c:v>
                </c:pt>
                <c:pt idx="227">
                  <c:v>14</c:v>
                </c:pt>
                <c:pt idx="228">
                  <c:v>18</c:v>
                </c:pt>
                <c:pt idx="229">
                  <c:v>17</c:v>
                </c:pt>
                <c:pt idx="230">
                  <c:v>16</c:v>
                </c:pt>
                <c:pt idx="231">
                  <c:v>15</c:v>
                </c:pt>
                <c:pt idx="232">
                  <c:v>38</c:v>
                </c:pt>
                <c:pt idx="233">
                  <c:v>31</c:v>
                </c:pt>
                <c:pt idx="234">
                  <c:v>38</c:v>
                </c:pt>
                <c:pt idx="235">
                  <c:v>42</c:v>
                </c:pt>
                <c:pt idx="236">
                  <c:v>34</c:v>
                </c:pt>
                <c:pt idx="237">
                  <c:v>17</c:v>
                </c:pt>
                <c:pt idx="238">
                  <c:v>32</c:v>
                </c:pt>
                <c:pt idx="239">
                  <c:v>33</c:v>
                </c:pt>
                <c:pt idx="240">
                  <c:v>44</c:v>
                </c:pt>
                <c:pt idx="241">
                  <c:v>47</c:v>
                </c:pt>
                <c:pt idx="242">
                  <c:v>35</c:v>
                </c:pt>
                <c:pt idx="243">
                  <c:v>27</c:v>
                </c:pt>
                <c:pt idx="244">
                  <c:v>45</c:v>
                </c:pt>
                <c:pt idx="245">
                  <c:v>40</c:v>
                </c:pt>
                <c:pt idx="246">
                  <c:v>31</c:v>
                </c:pt>
                <c:pt idx="247">
                  <c:v>36</c:v>
                </c:pt>
                <c:pt idx="248">
                  <c:v>24</c:v>
                </c:pt>
                <c:pt idx="249">
                  <c:v>21</c:v>
                </c:pt>
                <c:pt idx="250">
                  <c:v>25</c:v>
                </c:pt>
                <c:pt idx="251">
                  <c:v>41</c:v>
                </c:pt>
                <c:pt idx="252">
                  <c:v>40</c:v>
                </c:pt>
                <c:pt idx="253">
                  <c:v>26</c:v>
                </c:pt>
                <c:pt idx="254">
                  <c:v>28</c:v>
                </c:pt>
                <c:pt idx="255">
                  <c:v>46</c:v>
                </c:pt>
                <c:pt idx="256">
                  <c:v>20</c:v>
                </c:pt>
                <c:pt idx="257">
                  <c:v>33</c:v>
                </c:pt>
                <c:pt idx="258">
                  <c:v>28</c:v>
                </c:pt>
                <c:pt idx="259">
                  <c:v>31</c:v>
                </c:pt>
                <c:pt idx="260">
                  <c:v>30</c:v>
                </c:pt>
                <c:pt idx="261">
                  <c:v>32</c:v>
                </c:pt>
                <c:pt idx="262">
                  <c:v>37</c:v>
                </c:pt>
                <c:pt idx="263">
                  <c:v>35</c:v>
                </c:pt>
                <c:pt idx="264">
                  <c:v>41</c:v>
                </c:pt>
                <c:pt idx="265">
                  <c:v>30</c:v>
                </c:pt>
                <c:pt idx="266">
                  <c:v>33</c:v>
                </c:pt>
                <c:pt idx="267">
                  <c:v>32</c:v>
                </c:pt>
                <c:pt idx="268">
                  <c:v>38</c:v>
                </c:pt>
                <c:pt idx="269">
                  <c:v>35</c:v>
                </c:pt>
                <c:pt idx="270">
                  <c:v>43</c:v>
                </c:pt>
                <c:pt idx="271">
                  <c:v>27</c:v>
                </c:pt>
                <c:pt idx="272">
                  <c:v>32</c:v>
                </c:pt>
                <c:pt idx="273">
                  <c:v>36</c:v>
                </c:pt>
                <c:pt idx="274">
                  <c:v>48</c:v>
                </c:pt>
                <c:pt idx="275">
                  <c:v>27</c:v>
                </c:pt>
                <c:pt idx="276">
                  <c:v>41</c:v>
                </c:pt>
                <c:pt idx="277">
                  <c:v>23</c:v>
                </c:pt>
                <c:pt idx="278">
                  <c:v>88</c:v>
                </c:pt>
                <c:pt idx="279">
                  <c:v>36</c:v>
                </c:pt>
                <c:pt idx="280">
                  <c:v>41</c:v>
                </c:pt>
                <c:pt idx="281">
                  <c:v>31</c:v>
                </c:pt>
                <c:pt idx="282">
                  <c:v>46</c:v>
                </c:pt>
                <c:pt idx="283">
                  <c:v>30</c:v>
                </c:pt>
                <c:pt idx="284">
                  <c:v>13</c:v>
                </c:pt>
                <c:pt idx="285">
                  <c:v>23</c:v>
                </c:pt>
                <c:pt idx="286">
                  <c:v>40</c:v>
                </c:pt>
                <c:pt idx="287">
                  <c:v>46</c:v>
                </c:pt>
                <c:pt idx="288">
                  <c:v>22</c:v>
                </c:pt>
                <c:pt idx="289">
                  <c:v>42</c:v>
                </c:pt>
                <c:pt idx="290">
                  <c:v>32</c:v>
                </c:pt>
                <c:pt idx="291">
                  <c:v>34</c:v>
                </c:pt>
                <c:pt idx="292">
                  <c:v>20</c:v>
                </c:pt>
                <c:pt idx="293">
                  <c:v>47</c:v>
                </c:pt>
                <c:pt idx="294">
                  <c:v>48</c:v>
                </c:pt>
                <c:pt idx="295">
                  <c:v>36</c:v>
                </c:pt>
                <c:pt idx="296">
                  <c:v>40</c:v>
                </c:pt>
                <c:pt idx="297">
                  <c:v>30</c:v>
                </c:pt>
                <c:pt idx="298">
                  <c:v>37</c:v>
                </c:pt>
                <c:pt idx="299">
                  <c:v>45</c:v>
                </c:pt>
              </c:numCache>
            </c:numRef>
          </c:xVal>
          <c:yVal>
            <c:numRef>
              <c:f>'Data Part B'!$D$2:$D$301</c:f>
              <c:numCache>
                <c:formatCode>General</c:formatCode>
                <c:ptCount val="300"/>
                <c:pt idx="0">
                  <c:v>5</c:v>
                </c:pt>
                <c:pt idx="1">
                  <c:v>6</c:v>
                </c:pt>
                <c:pt idx="2">
                  <c:v>1</c:v>
                </c:pt>
                <c:pt idx="3">
                  <c:v>6</c:v>
                </c:pt>
                <c:pt idx="4">
                  <c:v>5</c:v>
                </c:pt>
                <c:pt idx="5">
                  <c:v>11</c:v>
                </c:pt>
                <c:pt idx="6">
                  <c:v>9</c:v>
                </c:pt>
                <c:pt idx="7">
                  <c:v>13</c:v>
                </c:pt>
                <c:pt idx="8">
                  <c:v>1</c:v>
                </c:pt>
                <c:pt idx="9">
                  <c:v>18</c:v>
                </c:pt>
                <c:pt idx="10">
                  <c:v>7</c:v>
                </c:pt>
                <c:pt idx="11">
                  <c:v>0</c:v>
                </c:pt>
                <c:pt idx="12">
                  <c:v>3</c:v>
                </c:pt>
                <c:pt idx="13">
                  <c:v>3</c:v>
                </c:pt>
                <c:pt idx="14">
                  <c:v>7</c:v>
                </c:pt>
                <c:pt idx="15">
                  <c:v>3</c:v>
                </c:pt>
                <c:pt idx="16">
                  <c:v>10</c:v>
                </c:pt>
                <c:pt idx="17">
                  <c:v>14</c:v>
                </c:pt>
                <c:pt idx="18">
                  <c:v>9</c:v>
                </c:pt>
                <c:pt idx="19">
                  <c:v>13</c:v>
                </c:pt>
                <c:pt idx="20">
                  <c:v>1</c:v>
                </c:pt>
                <c:pt idx="21">
                  <c:v>3</c:v>
                </c:pt>
                <c:pt idx="22">
                  <c:v>7</c:v>
                </c:pt>
                <c:pt idx="23">
                  <c:v>9</c:v>
                </c:pt>
                <c:pt idx="24">
                  <c:v>14</c:v>
                </c:pt>
                <c:pt idx="25">
                  <c:v>2</c:v>
                </c:pt>
                <c:pt idx="26">
                  <c:v>1</c:v>
                </c:pt>
                <c:pt idx="27">
                  <c:v>1</c:v>
                </c:pt>
                <c:pt idx="28">
                  <c:v>4</c:v>
                </c:pt>
                <c:pt idx="29">
                  <c:v>3</c:v>
                </c:pt>
                <c:pt idx="30">
                  <c:v>0</c:v>
                </c:pt>
                <c:pt idx="31">
                  <c:v>15</c:v>
                </c:pt>
                <c:pt idx="32">
                  <c:v>11</c:v>
                </c:pt>
                <c:pt idx="33">
                  <c:v>10</c:v>
                </c:pt>
                <c:pt idx="34">
                  <c:v>16</c:v>
                </c:pt>
                <c:pt idx="35">
                  <c:v>19</c:v>
                </c:pt>
                <c:pt idx="36">
                  <c:v>3</c:v>
                </c:pt>
                <c:pt idx="37">
                  <c:v>12</c:v>
                </c:pt>
                <c:pt idx="38">
                  <c:v>15</c:v>
                </c:pt>
                <c:pt idx="39">
                  <c:v>14</c:v>
                </c:pt>
                <c:pt idx="40">
                  <c:v>2</c:v>
                </c:pt>
                <c:pt idx="41">
                  <c:v>11</c:v>
                </c:pt>
                <c:pt idx="42">
                  <c:v>4</c:v>
                </c:pt>
                <c:pt idx="43">
                  <c:v>14</c:v>
                </c:pt>
                <c:pt idx="44">
                  <c:v>13</c:v>
                </c:pt>
                <c:pt idx="45">
                  <c:v>0</c:v>
                </c:pt>
                <c:pt idx="46">
                  <c:v>1</c:v>
                </c:pt>
                <c:pt idx="47">
                  <c:v>10</c:v>
                </c:pt>
                <c:pt idx="48">
                  <c:v>19</c:v>
                </c:pt>
                <c:pt idx="49">
                  <c:v>4</c:v>
                </c:pt>
                <c:pt idx="50">
                  <c:v>12</c:v>
                </c:pt>
                <c:pt idx="51">
                  <c:v>13</c:v>
                </c:pt>
                <c:pt idx="52">
                  <c:v>11</c:v>
                </c:pt>
                <c:pt idx="53">
                  <c:v>15</c:v>
                </c:pt>
                <c:pt idx="54">
                  <c:v>10</c:v>
                </c:pt>
                <c:pt idx="55">
                  <c:v>13</c:v>
                </c:pt>
                <c:pt idx="56">
                  <c:v>16</c:v>
                </c:pt>
                <c:pt idx="57">
                  <c:v>16</c:v>
                </c:pt>
                <c:pt idx="58">
                  <c:v>12</c:v>
                </c:pt>
                <c:pt idx="59">
                  <c:v>6</c:v>
                </c:pt>
                <c:pt idx="60">
                  <c:v>16</c:v>
                </c:pt>
                <c:pt idx="61">
                  <c:v>14</c:v>
                </c:pt>
                <c:pt idx="62">
                  <c:v>2</c:v>
                </c:pt>
                <c:pt idx="63">
                  <c:v>10</c:v>
                </c:pt>
                <c:pt idx="64">
                  <c:v>2</c:v>
                </c:pt>
                <c:pt idx="65">
                  <c:v>14</c:v>
                </c:pt>
                <c:pt idx="66">
                  <c:v>15</c:v>
                </c:pt>
                <c:pt idx="67">
                  <c:v>10</c:v>
                </c:pt>
                <c:pt idx="68">
                  <c:v>15</c:v>
                </c:pt>
                <c:pt idx="69">
                  <c:v>18</c:v>
                </c:pt>
                <c:pt idx="70">
                  <c:v>1</c:v>
                </c:pt>
                <c:pt idx="71">
                  <c:v>10</c:v>
                </c:pt>
                <c:pt idx="72">
                  <c:v>11</c:v>
                </c:pt>
                <c:pt idx="73">
                  <c:v>15</c:v>
                </c:pt>
                <c:pt idx="74">
                  <c:v>12</c:v>
                </c:pt>
                <c:pt idx="75">
                  <c:v>1</c:v>
                </c:pt>
                <c:pt idx="76">
                  <c:v>5</c:v>
                </c:pt>
                <c:pt idx="77">
                  <c:v>17</c:v>
                </c:pt>
                <c:pt idx="78">
                  <c:v>14</c:v>
                </c:pt>
                <c:pt idx="79">
                  <c:v>0</c:v>
                </c:pt>
                <c:pt idx="80">
                  <c:v>6</c:v>
                </c:pt>
                <c:pt idx="81">
                  <c:v>8</c:v>
                </c:pt>
                <c:pt idx="82">
                  <c:v>4</c:v>
                </c:pt>
                <c:pt idx="83">
                  <c:v>6</c:v>
                </c:pt>
                <c:pt idx="84">
                  <c:v>12</c:v>
                </c:pt>
                <c:pt idx="85">
                  <c:v>8</c:v>
                </c:pt>
                <c:pt idx="86">
                  <c:v>1</c:v>
                </c:pt>
                <c:pt idx="87">
                  <c:v>5</c:v>
                </c:pt>
                <c:pt idx="88">
                  <c:v>13</c:v>
                </c:pt>
                <c:pt idx="89">
                  <c:v>15</c:v>
                </c:pt>
                <c:pt idx="90">
                  <c:v>1</c:v>
                </c:pt>
                <c:pt idx="91">
                  <c:v>7</c:v>
                </c:pt>
                <c:pt idx="92">
                  <c:v>12</c:v>
                </c:pt>
                <c:pt idx="93">
                  <c:v>1</c:v>
                </c:pt>
                <c:pt idx="94">
                  <c:v>5</c:v>
                </c:pt>
                <c:pt idx="95">
                  <c:v>5</c:v>
                </c:pt>
                <c:pt idx="96">
                  <c:v>11</c:v>
                </c:pt>
                <c:pt idx="97">
                  <c:v>10</c:v>
                </c:pt>
                <c:pt idx="98">
                  <c:v>11</c:v>
                </c:pt>
                <c:pt idx="99">
                  <c:v>3</c:v>
                </c:pt>
                <c:pt idx="100">
                  <c:v>16</c:v>
                </c:pt>
                <c:pt idx="101">
                  <c:v>2</c:v>
                </c:pt>
                <c:pt idx="102">
                  <c:v>4</c:v>
                </c:pt>
                <c:pt idx="103">
                  <c:v>12</c:v>
                </c:pt>
                <c:pt idx="104">
                  <c:v>15</c:v>
                </c:pt>
                <c:pt idx="105">
                  <c:v>13</c:v>
                </c:pt>
                <c:pt idx="106">
                  <c:v>10</c:v>
                </c:pt>
                <c:pt idx="107">
                  <c:v>2</c:v>
                </c:pt>
                <c:pt idx="108">
                  <c:v>18</c:v>
                </c:pt>
                <c:pt idx="109">
                  <c:v>12</c:v>
                </c:pt>
                <c:pt idx="110">
                  <c:v>7</c:v>
                </c:pt>
                <c:pt idx="111">
                  <c:v>14</c:v>
                </c:pt>
                <c:pt idx="112">
                  <c:v>8</c:v>
                </c:pt>
                <c:pt idx="113">
                  <c:v>12</c:v>
                </c:pt>
                <c:pt idx="114">
                  <c:v>0</c:v>
                </c:pt>
                <c:pt idx="115">
                  <c:v>13</c:v>
                </c:pt>
                <c:pt idx="116">
                  <c:v>5</c:v>
                </c:pt>
                <c:pt idx="117">
                  <c:v>8</c:v>
                </c:pt>
                <c:pt idx="118">
                  <c:v>5</c:v>
                </c:pt>
                <c:pt idx="119">
                  <c:v>18</c:v>
                </c:pt>
                <c:pt idx="120">
                  <c:v>0</c:v>
                </c:pt>
                <c:pt idx="121">
                  <c:v>2</c:v>
                </c:pt>
                <c:pt idx="122">
                  <c:v>17</c:v>
                </c:pt>
                <c:pt idx="123">
                  <c:v>16</c:v>
                </c:pt>
                <c:pt idx="124">
                  <c:v>6</c:v>
                </c:pt>
                <c:pt idx="125">
                  <c:v>9</c:v>
                </c:pt>
                <c:pt idx="126">
                  <c:v>0</c:v>
                </c:pt>
                <c:pt idx="127">
                  <c:v>12</c:v>
                </c:pt>
                <c:pt idx="128">
                  <c:v>13</c:v>
                </c:pt>
                <c:pt idx="129">
                  <c:v>15</c:v>
                </c:pt>
                <c:pt idx="130">
                  <c:v>0</c:v>
                </c:pt>
                <c:pt idx="131">
                  <c:v>10</c:v>
                </c:pt>
                <c:pt idx="132">
                  <c:v>15</c:v>
                </c:pt>
                <c:pt idx="133">
                  <c:v>4</c:v>
                </c:pt>
                <c:pt idx="134">
                  <c:v>15</c:v>
                </c:pt>
                <c:pt idx="135">
                  <c:v>10</c:v>
                </c:pt>
                <c:pt idx="136">
                  <c:v>8</c:v>
                </c:pt>
                <c:pt idx="137">
                  <c:v>9</c:v>
                </c:pt>
                <c:pt idx="138">
                  <c:v>5</c:v>
                </c:pt>
                <c:pt idx="139">
                  <c:v>3</c:v>
                </c:pt>
                <c:pt idx="140">
                  <c:v>10</c:v>
                </c:pt>
                <c:pt idx="141">
                  <c:v>9</c:v>
                </c:pt>
                <c:pt idx="142">
                  <c:v>13</c:v>
                </c:pt>
                <c:pt idx="143">
                  <c:v>12</c:v>
                </c:pt>
                <c:pt idx="144">
                  <c:v>4</c:v>
                </c:pt>
                <c:pt idx="145">
                  <c:v>18</c:v>
                </c:pt>
                <c:pt idx="146">
                  <c:v>3</c:v>
                </c:pt>
                <c:pt idx="147">
                  <c:v>2</c:v>
                </c:pt>
                <c:pt idx="148">
                  <c:v>7</c:v>
                </c:pt>
                <c:pt idx="149">
                  <c:v>18</c:v>
                </c:pt>
                <c:pt idx="150">
                  <c:v>3</c:v>
                </c:pt>
                <c:pt idx="151">
                  <c:v>15</c:v>
                </c:pt>
                <c:pt idx="152">
                  <c:v>9</c:v>
                </c:pt>
                <c:pt idx="153">
                  <c:v>2</c:v>
                </c:pt>
                <c:pt idx="154">
                  <c:v>2</c:v>
                </c:pt>
                <c:pt idx="155">
                  <c:v>19</c:v>
                </c:pt>
                <c:pt idx="156">
                  <c:v>19</c:v>
                </c:pt>
                <c:pt idx="157">
                  <c:v>17</c:v>
                </c:pt>
                <c:pt idx="158">
                  <c:v>5</c:v>
                </c:pt>
                <c:pt idx="159">
                  <c:v>12</c:v>
                </c:pt>
                <c:pt idx="160">
                  <c:v>1</c:v>
                </c:pt>
                <c:pt idx="161">
                  <c:v>0</c:v>
                </c:pt>
                <c:pt idx="162">
                  <c:v>1</c:v>
                </c:pt>
                <c:pt idx="163">
                  <c:v>3</c:v>
                </c:pt>
                <c:pt idx="164">
                  <c:v>2</c:v>
                </c:pt>
                <c:pt idx="165">
                  <c:v>18</c:v>
                </c:pt>
                <c:pt idx="166">
                  <c:v>13</c:v>
                </c:pt>
                <c:pt idx="167">
                  <c:v>15</c:v>
                </c:pt>
                <c:pt idx="168">
                  <c:v>13</c:v>
                </c:pt>
                <c:pt idx="169">
                  <c:v>18</c:v>
                </c:pt>
                <c:pt idx="170">
                  <c:v>16</c:v>
                </c:pt>
                <c:pt idx="171">
                  <c:v>12</c:v>
                </c:pt>
                <c:pt idx="172">
                  <c:v>10</c:v>
                </c:pt>
                <c:pt idx="173">
                  <c:v>1</c:v>
                </c:pt>
                <c:pt idx="174">
                  <c:v>11</c:v>
                </c:pt>
                <c:pt idx="175">
                  <c:v>14</c:v>
                </c:pt>
                <c:pt idx="176">
                  <c:v>17</c:v>
                </c:pt>
                <c:pt idx="177">
                  <c:v>2</c:v>
                </c:pt>
                <c:pt idx="178">
                  <c:v>5</c:v>
                </c:pt>
                <c:pt idx="179">
                  <c:v>12</c:v>
                </c:pt>
                <c:pt idx="180">
                  <c:v>6</c:v>
                </c:pt>
                <c:pt idx="181">
                  <c:v>8</c:v>
                </c:pt>
                <c:pt idx="182">
                  <c:v>3</c:v>
                </c:pt>
                <c:pt idx="183">
                  <c:v>7</c:v>
                </c:pt>
                <c:pt idx="184">
                  <c:v>6</c:v>
                </c:pt>
                <c:pt idx="185">
                  <c:v>4</c:v>
                </c:pt>
                <c:pt idx="186">
                  <c:v>2</c:v>
                </c:pt>
                <c:pt idx="187">
                  <c:v>10</c:v>
                </c:pt>
                <c:pt idx="188">
                  <c:v>8</c:v>
                </c:pt>
                <c:pt idx="189">
                  <c:v>17</c:v>
                </c:pt>
                <c:pt idx="190">
                  <c:v>7</c:v>
                </c:pt>
                <c:pt idx="191">
                  <c:v>1</c:v>
                </c:pt>
                <c:pt idx="192">
                  <c:v>13</c:v>
                </c:pt>
                <c:pt idx="193">
                  <c:v>7</c:v>
                </c:pt>
                <c:pt idx="194">
                  <c:v>10</c:v>
                </c:pt>
                <c:pt idx="195">
                  <c:v>8</c:v>
                </c:pt>
                <c:pt idx="196">
                  <c:v>17</c:v>
                </c:pt>
                <c:pt idx="197">
                  <c:v>13</c:v>
                </c:pt>
                <c:pt idx="198">
                  <c:v>10</c:v>
                </c:pt>
                <c:pt idx="199">
                  <c:v>15</c:v>
                </c:pt>
                <c:pt idx="200">
                  <c:v>4</c:v>
                </c:pt>
                <c:pt idx="201">
                  <c:v>0</c:v>
                </c:pt>
                <c:pt idx="202">
                  <c:v>16</c:v>
                </c:pt>
                <c:pt idx="203">
                  <c:v>2</c:v>
                </c:pt>
                <c:pt idx="204">
                  <c:v>0</c:v>
                </c:pt>
                <c:pt idx="205">
                  <c:v>18</c:v>
                </c:pt>
                <c:pt idx="206">
                  <c:v>9</c:v>
                </c:pt>
                <c:pt idx="207">
                  <c:v>19</c:v>
                </c:pt>
                <c:pt idx="208">
                  <c:v>16</c:v>
                </c:pt>
                <c:pt idx="209">
                  <c:v>15</c:v>
                </c:pt>
                <c:pt idx="210">
                  <c:v>6</c:v>
                </c:pt>
                <c:pt idx="211">
                  <c:v>14</c:v>
                </c:pt>
                <c:pt idx="212">
                  <c:v>6</c:v>
                </c:pt>
                <c:pt idx="213">
                  <c:v>15</c:v>
                </c:pt>
                <c:pt idx="214">
                  <c:v>4</c:v>
                </c:pt>
                <c:pt idx="215">
                  <c:v>10</c:v>
                </c:pt>
                <c:pt idx="216">
                  <c:v>14</c:v>
                </c:pt>
                <c:pt idx="217">
                  <c:v>11</c:v>
                </c:pt>
                <c:pt idx="218">
                  <c:v>0</c:v>
                </c:pt>
                <c:pt idx="219">
                  <c:v>10</c:v>
                </c:pt>
                <c:pt idx="220">
                  <c:v>0</c:v>
                </c:pt>
                <c:pt idx="221">
                  <c:v>18</c:v>
                </c:pt>
                <c:pt idx="222">
                  <c:v>9</c:v>
                </c:pt>
                <c:pt idx="223">
                  <c:v>3</c:v>
                </c:pt>
                <c:pt idx="224">
                  <c:v>4</c:v>
                </c:pt>
                <c:pt idx="225">
                  <c:v>10</c:v>
                </c:pt>
                <c:pt idx="226">
                  <c:v>13</c:v>
                </c:pt>
                <c:pt idx="227">
                  <c:v>3</c:v>
                </c:pt>
                <c:pt idx="228">
                  <c:v>3</c:v>
                </c:pt>
                <c:pt idx="229">
                  <c:v>5</c:v>
                </c:pt>
                <c:pt idx="230">
                  <c:v>2</c:v>
                </c:pt>
                <c:pt idx="231">
                  <c:v>1</c:v>
                </c:pt>
                <c:pt idx="232">
                  <c:v>10</c:v>
                </c:pt>
                <c:pt idx="233">
                  <c:v>15</c:v>
                </c:pt>
                <c:pt idx="234">
                  <c:v>74</c:v>
                </c:pt>
                <c:pt idx="235">
                  <c:v>18</c:v>
                </c:pt>
                <c:pt idx="236">
                  <c:v>46</c:v>
                </c:pt>
                <c:pt idx="237">
                  <c:v>36</c:v>
                </c:pt>
                <c:pt idx="238">
                  <c:v>27</c:v>
                </c:pt>
                <c:pt idx="239">
                  <c:v>80</c:v>
                </c:pt>
                <c:pt idx="240">
                  <c:v>34</c:v>
                </c:pt>
                <c:pt idx="241">
                  <c:v>29</c:v>
                </c:pt>
                <c:pt idx="242">
                  <c:v>41</c:v>
                </c:pt>
                <c:pt idx="243">
                  <c:v>21</c:v>
                </c:pt>
                <c:pt idx="244">
                  <c:v>24</c:v>
                </c:pt>
                <c:pt idx="245">
                  <c:v>29</c:v>
                </c:pt>
                <c:pt idx="246">
                  <c:v>39</c:v>
                </c:pt>
                <c:pt idx="247">
                  <c:v>40</c:v>
                </c:pt>
                <c:pt idx="248">
                  <c:v>20</c:v>
                </c:pt>
                <c:pt idx="249">
                  <c:v>28</c:v>
                </c:pt>
                <c:pt idx="250">
                  <c:v>40</c:v>
                </c:pt>
                <c:pt idx="251">
                  <c:v>30</c:v>
                </c:pt>
                <c:pt idx="252">
                  <c:v>36</c:v>
                </c:pt>
                <c:pt idx="253">
                  <c:v>33</c:v>
                </c:pt>
                <c:pt idx="254">
                  <c:v>30</c:v>
                </c:pt>
                <c:pt idx="255">
                  <c:v>94</c:v>
                </c:pt>
                <c:pt idx="256">
                  <c:v>21</c:v>
                </c:pt>
                <c:pt idx="257">
                  <c:v>22</c:v>
                </c:pt>
                <c:pt idx="258">
                  <c:v>42</c:v>
                </c:pt>
                <c:pt idx="259">
                  <c:v>13</c:v>
                </c:pt>
                <c:pt idx="260">
                  <c:v>14</c:v>
                </c:pt>
                <c:pt idx="261">
                  <c:v>42</c:v>
                </c:pt>
                <c:pt idx="262">
                  <c:v>39</c:v>
                </c:pt>
                <c:pt idx="263">
                  <c:v>45</c:v>
                </c:pt>
                <c:pt idx="264">
                  <c:v>37</c:v>
                </c:pt>
                <c:pt idx="265">
                  <c:v>14</c:v>
                </c:pt>
                <c:pt idx="266">
                  <c:v>34</c:v>
                </c:pt>
                <c:pt idx="267">
                  <c:v>29</c:v>
                </c:pt>
                <c:pt idx="268">
                  <c:v>44</c:v>
                </c:pt>
                <c:pt idx="269">
                  <c:v>35</c:v>
                </c:pt>
                <c:pt idx="270">
                  <c:v>24</c:v>
                </c:pt>
                <c:pt idx="271">
                  <c:v>24</c:v>
                </c:pt>
                <c:pt idx="272">
                  <c:v>40</c:v>
                </c:pt>
                <c:pt idx="273">
                  <c:v>22</c:v>
                </c:pt>
                <c:pt idx="274">
                  <c:v>19</c:v>
                </c:pt>
                <c:pt idx="275">
                  <c:v>44</c:v>
                </c:pt>
                <c:pt idx="276">
                  <c:v>45</c:v>
                </c:pt>
                <c:pt idx="277">
                  <c:v>22</c:v>
                </c:pt>
                <c:pt idx="278">
                  <c:v>33</c:v>
                </c:pt>
                <c:pt idx="279">
                  <c:v>31</c:v>
                </c:pt>
                <c:pt idx="280">
                  <c:v>46</c:v>
                </c:pt>
                <c:pt idx="281">
                  <c:v>18</c:v>
                </c:pt>
                <c:pt idx="282">
                  <c:v>23</c:v>
                </c:pt>
                <c:pt idx="283">
                  <c:v>41</c:v>
                </c:pt>
                <c:pt idx="284">
                  <c:v>15</c:v>
                </c:pt>
                <c:pt idx="285">
                  <c:v>20</c:v>
                </c:pt>
                <c:pt idx="286">
                  <c:v>23</c:v>
                </c:pt>
                <c:pt idx="287">
                  <c:v>42</c:v>
                </c:pt>
                <c:pt idx="288">
                  <c:v>29</c:v>
                </c:pt>
                <c:pt idx="289">
                  <c:v>18</c:v>
                </c:pt>
                <c:pt idx="290">
                  <c:v>15</c:v>
                </c:pt>
                <c:pt idx="291">
                  <c:v>30</c:v>
                </c:pt>
                <c:pt idx="292">
                  <c:v>33</c:v>
                </c:pt>
                <c:pt idx="293">
                  <c:v>20</c:v>
                </c:pt>
                <c:pt idx="294">
                  <c:v>23</c:v>
                </c:pt>
                <c:pt idx="295">
                  <c:v>21</c:v>
                </c:pt>
                <c:pt idx="296">
                  <c:v>31</c:v>
                </c:pt>
                <c:pt idx="297">
                  <c:v>21</c:v>
                </c:pt>
                <c:pt idx="298">
                  <c:v>35</c:v>
                </c:pt>
                <c:pt idx="299">
                  <c:v>32</c:v>
                </c:pt>
              </c:numCache>
            </c:numRef>
          </c:yVal>
          <c:smooth val="0"/>
          <c:extLst>
            <c:ext xmlns:c16="http://schemas.microsoft.com/office/drawing/2014/chart" uri="{C3380CC4-5D6E-409C-BE32-E72D297353CC}">
              <c16:uniqueId val="{00000000-0D03-4A0D-81DE-FF4453C9BEBD}"/>
            </c:ext>
          </c:extLst>
        </c:ser>
        <c:dLbls>
          <c:showLegendKey val="0"/>
          <c:showVal val="0"/>
          <c:showCatName val="0"/>
          <c:showSerName val="0"/>
          <c:showPercent val="0"/>
          <c:showBubbleSize val="0"/>
        </c:dLbls>
        <c:axId val="106929536"/>
        <c:axId val="209769600"/>
      </c:scatterChart>
      <c:valAx>
        <c:axId val="106929536"/>
        <c:scaling>
          <c:orientation val="minMax"/>
        </c:scaling>
        <c:delete val="0"/>
        <c:axPos val="b"/>
        <c:numFmt formatCode="General" sourceLinked="1"/>
        <c:majorTickMark val="out"/>
        <c:minorTickMark val="none"/>
        <c:tickLblPos val="nextTo"/>
        <c:crossAx val="209769600"/>
        <c:crosses val="autoZero"/>
        <c:crossBetween val="midCat"/>
      </c:valAx>
      <c:valAx>
        <c:axId val="209769600"/>
        <c:scaling>
          <c:orientation val="minMax"/>
        </c:scaling>
        <c:delete val="0"/>
        <c:axPos val="l"/>
        <c:majorGridlines/>
        <c:numFmt formatCode="General" sourceLinked="1"/>
        <c:majorTickMark val="out"/>
        <c:minorTickMark val="none"/>
        <c:tickLblPos val="nextTo"/>
        <c:crossAx val="106929536"/>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Frequency of Quality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'Result Part B'!$B$3</c:f>
              <c:strCache>
                <c:ptCount val="1"/>
                <c:pt idx="0">
                  <c:v>Frequency</c:v>
                </c:pt>
              </c:strCache>
            </c:strRef>
          </c:tx>
          <c:spPr>
            <a:solidFill>
              <a:schemeClr val="accent1"/>
            </a:solidFill>
            <a:ln>
              <a:noFill/>
            </a:ln>
            <a:effectLst/>
          </c:spPr>
          <c:invertIfNegative val="0"/>
          <c:cat>
            <c:strRef>
              <c:f>'Result Part B'!$A$4:$A$6</c:f>
              <c:strCache>
                <c:ptCount val="3"/>
                <c:pt idx="0">
                  <c:v>Good</c:v>
                </c:pt>
                <c:pt idx="1">
                  <c:v>Very Good</c:v>
                </c:pt>
                <c:pt idx="2">
                  <c:v>Excellent</c:v>
                </c:pt>
              </c:strCache>
            </c:strRef>
          </c:cat>
          <c:val>
            <c:numRef>
              <c:f>'Result Part B'!$B$4:$B$6</c:f>
              <c:numCache>
                <c:formatCode>General</c:formatCode>
                <c:ptCount val="3"/>
                <c:pt idx="0">
                  <c:v>84</c:v>
                </c:pt>
                <c:pt idx="1">
                  <c:v>150</c:v>
                </c:pt>
                <c:pt idx="2">
                  <c:v>66</c:v>
                </c:pt>
              </c:numCache>
            </c:numRef>
          </c:val>
          <c:extLst>
            <c:ext xmlns:c16="http://schemas.microsoft.com/office/drawing/2014/chart" uri="{C3380CC4-5D6E-409C-BE32-E72D297353CC}">
              <c16:uniqueId val="{00000000-9E9D-4687-8208-09BCEB8890CE}"/>
            </c:ext>
          </c:extLst>
        </c:ser>
        <c:dLbls>
          <c:showLegendKey val="0"/>
          <c:showVal val="0"/>
          <c:showCatName val="0"/>
          <c:showSerName val="0"/>
          <c:showPercent val="0"/>
          <c:showBubbleSize val="0"/>
        </c:dLbls>
        <c:gapWidth val="219"/>
        <c:overlap val="-27"/>
        <c:axId val="543512560"/>
        <c:axId val="543512976"/>
      </c:barChart>
      <c:catAx>
        <c:axId val="5435125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Quality Ratings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512976"/>
        <c:crosses val="autoZero"/>
        <c:auto val="1"/>
        <c:lblAlgn val="ctr"/>
        <c:lblOffset val="100"/>
        <c:noMultiLvlLbl val="0"/>
      </c:catAx>
      <c:valAx>
        <c:axId val="543512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Frequency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5125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Percentage Frequency Polygon</a:t>
            </a:r>
            <a:r>
              <a:rPr lang="en-MY" baseline="0"/>
              <a:t> for Quality Ratings</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'Result Part B'!$P$19</c:f>
              <c:strCache>
                <c:ptCount val="1"/>
                <c:pt idx="0">
                  <c:v>Excellent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'Result Part B'!$L$20:$L$30</c:f>
              <c:numCache>
                <c:formatCode>0</c:formatCode>
                <c:ptCount val="11"/>
                <c:pt idx="0" formatCode="General">
                  <c:v>-10</c:v>
                </c:pt>
                <c:pt idx="1">
                  <c:v>0</c:v>
                </c:pt>
                <c:pt idx="2" formatCode="General">
                  <c:v>10</c:v>
                </c:pt>
                <c:pt idx="3">
                  <c:v>20</c:v>
                </c:pt>
                <c:pt idx="4" formatCode="General">
                  <c:v>30</c:v>
                </c:pt>
                <c:pt idx="5">
                  <c:v>40</c:v>
                </c:pt>
                <c:pt idx="6" formatCode="General">
                  <c:v>50</c:v>
                </c:pt>
                <c:pt idx="7">
                  <c:v>60</c:v>
                </c:pt>
                <c:pt idx="8" formatCode="General">
                  <c:v>70</c:v>
                </c:pt>
                <c:pt idx="9">
                  <c:v>80</c:v>
                </c:pt>
                <c:pt idx="10" formatCode="General">
                  <c:v>90</c:v>
                </c:pt>
              </c:numCache>
            </c:numRef>
          </c:cat>
          <c:val>
            <c:numRef>
              <c:f>'Result Part B'!$P$20:$P$30</c:f>
              <c:numCache>
                <c:formatCode>0.00%</c:formatCode>
                <c:ptCount val="11"/>
                <c:pt idx="0">
                  <c:v>0</c:v>
                </c:pt>
                <c:pt idx="1">
                  <c:v>0</c:v>
                </c:pt>
                <c:pt idx="2">
                  <c:v>1.5151515151515152E-2</c:v>
                </c:pt>
                <c:pt idx="3">
                  <c:v>0.13636363636363635</c:v>
                </c:pt>
                <c:pt idx="4">
                  <c:v>0.39393939393939392</c:v>
                </c:pt>
                <c:pt idx="5">
                  <c:v>0.33333333333333331</c:v>
                </c:pt>
                <c:pt idx="6">
                  <c:v>0.10606060606060606</c:v>
                </c:pt>
                <c:pt idx="7">
                  <c:v>0</c:v>
                </c:pt>
                <c:pt idx="8">
                  <c:v>0</c:v>
                </c:pt>
                <c:pt idx="9">
                  <c:v>0</c:v>
                </c:pt>
                <c:pt idx="10">
                  <c:v>1.5151515151515152E-2</c:v>
                </c:pt>
              </c:numCache>
            </c:numRef>
          </c:val>
          <c:smooth val="0"/>
          <c:extLst>
            <c:ext xmlns:c16="http://schemas.microsoft.com/office/drawing/2014/chart" uri="{C3380CC4-5D6E-409C-BE32-E72D297353CC}">
              <c16:uniqueId val="{00000000-8748-42F3-A0F0-2654D1C3D7C0}"/>
            </c:ext>
          </c:extLst>
        </c:ser>
        <c:ser>
          <c:idx val="1"/>
          <c:order val="1"/>
          <c:tx>
            <c:strRef>
              <c:f>'Result Part B'!$Q$19</c:f>
              <c:strCache>
                <c:ptCount val="1"/>
                <c:pt idx="0">
                  <c:v>Good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'Result Part B'!$L$20:$L$30</c:f>
              <c:numCache>
                <c:formatCode>0</c:formatCode>
                <c:ptCount val="11"/>
                <c:pt idx="0" formatCode="General">
                  <c:v>-10</c:v>
                </c:pt>
                <c:pt idx="1">
                  <c:v>0</c:v>
                </c:pt>
                <c:pt idx="2" formatCode="General">
                  <c:v>10</c:v>
                </c:pt>
                <c:pt idx="3">
                  <c:v>20</c:v>
                </c:pt>
                <c:pt idx="4" formatCode="General">
                  <c:v>30</c:v>
                </c:pt>
                <c:pt idx="5">
                  <c:v>40</c:v>
                </c:pt>
                <c:pt idx="6" formatCode="General">
                  <c:v>50</c:v>
                </c:pt>
                <c:pt idx="7">
                  <c:v>60</c:v>
                </c:pt>
                <c:pt idx="8" formatCode="General">
                  <c:v>70</c:v>
                </c:pt>
                <c:pt idx="9">
                  <c:v>80</c:v>
                </c:pt>
                <c:pt idx="10" formatCode="General">
                  <c:v>90</c:v>
                </c:pt>
              </c:numCache>
            </c:numRef>
          </c:cat>
          <c:val>
            <c:numRef>
              <c:f>'Result Part B'!$Q$20:$Q$30</c:f>
              <c:numCache>
                <c:formatCode>0.00%</c:formatCode>
                <c:ptCount val="11"/>
                <c:pt idx="0">
                  <c:v>1.1904761904761904E-2</c:v>
                </c:pt>
                <c:pt idx="1">
                  <c:v>0</c:v>
                </c:pt>
                <c:pt idx="2">
                  <c:v>0.27380952380952384</c:v>
                </c:pt>
                <c:pt idx="3">
                  <c:v>0.47619047619047616</c:v>
                </c:pt>
                <c:pt idx="4">
                  <c:v>0.20238095238095238</c:v>
                </c:pt>
                <c:pt idx="5">
                  <c:v>2.3809523809523808E-2</c:v>
                </c:pt>
                <c:pt idx="6">
                  <c:v>1.1904761904761904E-2</c:v>
                </c:pt>
                <c:pt idx="7">
                  <c:v>0</c:v>
                </c:pt>
                <c:pt idx="8">
                  <c:v>0</c:v>
                </c:pt>
                <c:pt idx="9">
                  <c:v>0</c:v>
                </c:pt>
                <c:pt idx="10">
                  <c:v>0</c:v>
                </c:pt>
              </c:numCache>
            </c:numRef>
          </c:val>
          <c:smooth val="0"/>
          <c:extLst>
            <c:ext xmlns:c16="http://schemas.microsoft.com/office/drawing/2014/chart" uri="{C3380CC4-5D6E-409C-BE32-E72D297353CC}">
              <c16:uniqueId val="{00000001-8748-42F3-A0F0-2654D1C3D7C0}"/>
            </c:ext>
          </c:extLst>
        </c:ser>
        <c:ser>
          <c:idx val="2"/>
          <c:order val="2"/>
          <c:tx>
            <c:strRef>
              <c:f>'Result Part B'!$R$19</c:f>
              <c:strCache>
                <c:ptCount val="1"/>
                <c:pt idx="0">
                  <c:v>Very Good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'Result Part B'!$L$20:$L$30</c:f>
              <c:numCache>
                <c:formatCode>0</c:formatCode>
                <c:ptCount val="11"/>
                <c:pt idx="0" formatCode="General">
                  <c:v>-10</c:v>
                </c:pt>
                <c:pt idx="1">
                  <c:v>0</c:v>
                </c:pt>
                <c:pt idx="2" formatCode="General">
                  <c:v>10</c:v>
                </c:pt>
                <c:pt idx="3">
                  <c:v>20</c:v>
                </c:pt>
                <c:pt idx="4" formatCode="General">
                  <c:v>30</c:v>
                </c:pt>
                <c:pt idx="5">
                  <c:v>40</c:v>
                </c:pt>
                <c:pt idx="6" formatCode="General">
                  <c:v>50</c:v>
                </c:pt>
                <c:pt idx="7">
                  <c:v>60</c:v>
                </c:pt>
                <c:pt idx="8" formatCode="General">
                  <c:v>70</c:v>
                </c:pt>
                <c:pt idx="9">
                  <c:v>80</c:v>
                </c:pt>
                <c:pt idx="10" formatCode="General">
                  <c:v>90</c:v>
                </c:pt>
              </c:numCache>
            </c:numRef>
          </c:cat>
          <c:val>
            <c:numRef>
              <c:f>'Result Part B'!$R$20:$R$30</c:f>
              <c:numCache>
                <c:formatCode>0.00%</c:formatCode>
                <c:ptCount val="11"/>
                <c:pt idx="0">
                  <c:v>0</c:v>
                </c:pt>
                <c:pt idx="1">
                  <c:v>0</c:v>
                </c:pt>
                <c:pt idx="2">
                  <c:v>0.13333333333333333</c:v>
                </c:pt>
                <c:pt idx="3">
                  <c:v>0.37333333333333335</c:v>
                </c:pt>
                <c:pt idx="4">
                  <c:v>0.37333333333333335</c:v>
                </c:pt>
                <c:pt idx="5">
                  <c:v>0.11333333333333333</c:v>
                </c:pt>
                <c:pt idx="6">
                  <c:v>6.6666666666666671E-3</c:v>
                </c:pt>
                <c:pt idx="7">
                  <c:v>0</c:v>
                </c:pt>
                <c:pt idx="8">
                  <c:v>0</c:v>
                </c:pt>
                <c:pt idx="9">
                  <c:v>0</c:v>
                </c:pt>
                <c:pt idx="10">
                  <c:v>0</c:v>
                </c:pt>
              </c:numCache>
            </c:numRef>
          </c:val>
          <c:smooth val="0"/>
          <c:extLst>
            <c:ext xmlns:c16="http://schemas.microsoft.com/office/drawing/2014/chart" uri="{C3380CC4-5D6E-409C-BE32-E72D297353CC}">
              <c16:uniqueId val="{00000002-8748-42F3-A0F0-2654D1C3D7C0}"/>
            </c:ext>
          </c:extLst>
        </c:ser>
        <c:dLbls>
          <c:showLegendKey val="0"/>
          <c:showVal val="0"/>
          <c:showCatName val="0"/>
          <c:showSerName val="0"/>
          <c:showPercent val="0"/>
          <c:showBubbleSize val="0"/>
        </c:dLbls>
        <c:marker val="1"/>
        <c:smooth val="0"/>
        <c:axId val="557183856"/>
        <c:axId val="557184272"/>
      </c:lineChart>
      <c:catAx>
        <c:axId val="557183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Meal Price (RM)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184272"/>
        <c:crosses val="autoZero"/>
        <c:auto val="1"/>
        <c:lblAlgn val="ctr"/>
        <c:lblOffset val="100"/>
        <c:noMultiLvlLbl val="0"/>
      </c:catAx>
      <c:valAx>
        <c:axId val="557184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Percentage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183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10</xdr:col>
      <xdr:colOff>30480</xdr:colOff>
      <xdr:row>280</xdr:row>
      <xdr:rowOff>186690</xdr:rowOff>
    </xdr:from>
    <xdr:to>
      <xdr:col>16</xdr:col>
      <xdr:colOff>579120</xdr:colOff>
      <xdr:row>294</xdr:row>
      <xdr:rowOff>156210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9</xdr:col>
      <xdr:colOff>22860</xdr:colOff>
      <xdr:row>35</xdr:row>
      <xdr:rowOff>22860</xdr:rowOff>
    </xdr:from>
    <xdr:ext cx="8808720" cy="1935480"/>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6118860" y="7772400"/>
          <a:ext cx="8808720" cy="193548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r>
            <a:rPr lang="en-US" sz="1200"/>
            <a:t>Yes, the level of quality rating is different</a:t>
          </a:r>
          <a:r>
            <a:rPr lang="en-US" sz="1200" baseline="0"/>
            <a:t> for the three group of restaurants. </a:t>
          </a:r>
          <a:r>
            <a:rPr lang="en-US" sz="1200"/>
            <a:t>There is an unusual figure of</a:t>
          </a:r>
          <a:r>
            <a:rPr lang="en-US" sz="1200" baseline="0"/>
            <a:t> RM</a:t>
          </a:r>
          <a:r>
            <a:rPr lang="en-US" sz="1200"/>
            <a:t> -5</a:t>
          </a:r>
          <a:r>
            <a:rPr lang="en-US" sz="1200" baseline="0"/>
            <a:t> for the minimum of "Good" ratings. There should not be negative values for meal price. There is also an usual outlier for the maximum of "Excellent" ratings of RM 88. These extreme values or outliers will cause the mean of the data to affect greatly. Therefore, a more accurate measure of centrality would be to use the median or mode.</a:t>
          </a:r>
          <a:endParaRPr lang="en-US" sz="1200"/>
        </a:p>
      </xdr:txBody>
    </xdr:sp>
    <xdr:clientData/>
  </xdr:oneCellAnchor>
  <xdr:oneCellAnchor>
    <xdr:from>
      <xdr:col>8</xdr:col>
      <xdr:colOff>617220</xdr:colOff>
      <xdr:row>48</xdr:row>
      <xdr:rowOff>0</xdr:rowOff>
    </xdr:from>
    <xdr:ext cx="8862060" cy="800100"/>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6042660" y="10325100"/>
          <a:ext cx="8862060" cy="8001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r>
            <a:rPr lang="en-US" sz="1200"/>
            <a:t>The frequency</a:t>
          </a:r>
          <a:r>
            <a:rPr lang="en-US" sz="1200" baseline="0"/>
            <a:t> polygon for "Good" quality rating is slightly skewed positively, and have a mode of 48% at the food price class of RM15 - RM25. Meanwhile, the frequency polygon for "Very Good" quality rating is almost symmetrical with two modes at RM15 - RM25 and RM25 - RM35. Lastly, the frequency polygon for "Excellent" quality rating has a positive skewness and a mode of 39% at RM25 - RM35.</a:t>
          </a:r>
          <a:endParaRPr lang="en-US" sz="1200"/>
        </a:p>
      </xdr:txBody>
    </xdr:sp>
    <xdr:clientData/>
  </xdr:oneCellAnchor>
  <xdr:oneCellAnchor>
    <xdr:from>
      <xdr:col>9</xdr:col>
      <xdr:colOff>0</xdr:colOff>
      <xdr:row>55</xdr:row>
      <xdr:rowOff>-1</xdr:rowOff>
    </xdr:from>
    <xdr:ext cx="8862060" cy="1434353"/>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6257365" y="11564470"/>
          <a:ext cx="8862060" cy="143435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r>
            <a:rPr lang="en-US" sz="1200"/>
            <a:t>The four measures of variability are the</a:t>
          </a:r>
          <a:r>
            <a:rPr lang="en-US" sz="1200" baseline="0"/>
            <a:t> standard deviation, sample variance, range and interquartile range. However, in Table(c), only the standard deviation, sample variance and range is given while the interquartile range is not stated. The standard deviation of "Good" ratings is 8.19, "Very Good" ratings is8.30 and "Excellent" ratings is 10.54. The standard deviation shows that the "Excellent" ratings is the most variable, followed by "Very Good" and "Good" ratings. As the sample variance is relative to the standard deviation, the results also shows that "Excellent" ratings is the most variable followed by "Very Good" and "Good". The range of the data shows that "Excellent" ratings has the highest variability but surprisingly "Good" has a higher range than "Very Good". This might be caused by a few outliers in "Good" ratings that cause it to have a greater range.</a:t>
          </a:r>
          <a:endParaRPr lang="en-US" sz="1200"/>
        </a:p>
      </xdr:txBody>
    </xdr:sp>
    <xdr:clientData/>
  </xdr:oneCellAnchor>
  <xdr:twoCellAnchor>
    <xdr:from>
      <xdr:col>0</xdr:col>
      <xdr:colOff>25978</xdr:colOff>
      <xdr:row>11</xdr:row>
      <xdr:rowOff>22513</xdr:rowOff>
    </xdr:from>
    <xdr:to>
      <xdr:col>7</xdr:col>
      <xdr:colOff>649432</xdr:colOff>
      <xdr:row>26</xdr:row>
      <xdr:rowOff>181840</xdr:rowOff>
    </xdr:to>
    <xdr:graphicFrame macro="">
      <xdr:nvGraphicFramePr>
        <xdr:cNvPr id="2" name="Chart 1">
          <a:extLst>
            <a:ext uri="{FF2B5EF4-FFF2-40B4-BE49-F238E27FC236}">
              <a16:creationId xmlns:a16="http://schemas.microsoft.com/office/drawing/2014/main" id="{D32590BF-28AF-4295-A9F3-A3D105FE7A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28799</xdr:colOff>
      <xdr:row>2</xdr:row>
      <xdr:rowOff>71718</xdr:rowOff>
    </xdr:from>
    <xdr:to>
      <xdr:col>27</xdr:col>
      <xdr:colOff>627528</xdr:colOff>
      <xdr:row>14</xdr:row>
      <xdr:rowOff>195318</xdr:rowOff>
    </xdr:to>
    <xdr:graphicFrame macro="">
      <xdr:nvGraphicFramePr>
        <xdr:cNvPr id="3" name="Chart 2">
          <a:extLst>
            <a:ext uri="{FF2B5EF4-FFF2-40B4-BE49-F238E27FC236}">
              <a16:creationId xmlns:a16="http://schemas.microsoft.com/office/drawing/2014/main" id="{1CAF4B87-4476-4F43-8C0B-6E8E00B0E8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01"/>
  <sheetViews>
    <sheetView topLeftCell="A283" zoomScale="85" zoomScaleNormal="85" workbookViewId="0">
      <selection sqref="A1:G301"/>
    </sheetView>
  </sheetViews>
  <sheetFormatPr defaultRowHeight="15.75" x14ac:dyDescent="0.25"/>
  <cols>
    <col min="1" max="1" width="11.25" style="1" customWidth="1"/>
    <col min="2" max="2" width="13.875" customWidth="1"/>
    <col min="3" max="3" width="14.625" customWidth="1"/>
    <col min="4" max="4" width="14.125" style="1" customWidth="1"/>
    <col min="5" max="7" width="8.875" customWidth="1"/>
    <col min="9" max="9" width="11.875" customWidth="1"/>
    <col min="19" max="19" width="8.375" bestFit="1" customWidth="1"/>
  </cols>
  <sheetData>
    <row r="1" spans="1:20" ht="31.5" x14ac:dyDescent="0.25">
      <c r="A1" s="4" t="s">
        <v>0</v>
      </c>
      <c r="B1" s="5" t="s">
        <v>1</v>
      </c>
      <c r="C1" s="5" t="s">
        <v>22</v>
      </c>
      <c r="D1" s="5" t="s">
        <v>5</v>
      </c>
      <c r="E1" s="8" t="s">
        <v>2</v>
      </c>
      <c r="F1" s="8" t="s">
        <v>6</v>
      </c>
      <c r="G1" s="8" t="s">
        <v>4</v>
      </c>
    </row>
    <row r="2" spans="1:20" x14ac:dyDescent="0.25">
      <c r="A2" s="1">
        <v>1</v>
      </c>
      <c r="B2" s="2" t="s">
        <v>2</v>
      </c>
      <c r="C2" s="3">
        <v>18</v>
      </c>
      <c r="D2" s="3">
        <v>5</v>
      </c>
      <c r="E2" s="6">
        <v>1</v>
      </c>
      <c r="F2">
        <v>0</v>
      </c>
      <c r="G2">
        <v>0</v>
      </c>
      <c r="I2" s="6"/>
      <c r="P2" s="12"/>
      <c r="Q2" s="13"/>
      <c r="R2" s="13"/>
      <c r="S2" s="10"/>
      <c r="T2" s="10"/>
    </row>
    <row r="3" spans="1:20" x14ac:dyDescent="0.25">
      <c r="A3" s="1">
        <v>2</v>
      </c>
      <c r="B3" s="2" t="s">
        <v>3</v>
      </c>
      <c r="C3" s="3">
        <v>22</v>
      </c>
      <c r="D3" s="3">
        <v>6</v>
      </c>
      <c r="E3" s="6">
        <v>0</v>
      </c>
      <c r="F3">
        <v>1</v>
      </c>
      <c r="G3">
        <v>0</v>
      </c>
      <c r="I3" s="6"/>
      <c r="P3" s="11"/>
      <c r="Q3" s="9"/>
      <c r="R3" s="9"/>
      <c r="S3" s="9"/>
      <c r="T3" s="9"/>
    </row>
    <row r="4" spans="1:20" x14ac:dyDescent="0.25">
      <c r="A4" s="1">
        <v>3</v>
      </c>
      <c r="B4" s="2" t="s">
        <v>2</v>
      </c>
      <c r="C4" s="3">
        <v>28</v>
      </c>
      <c r="D4" s="3">
        <v>1</v>
      </c>
      <c r="E4" s="6">
        <v>1</v>
      </c>
      <c r="F4">
        <v>0</v>
      </c>
      <c r="G4">
        <v>0</v>
      </c>
      <c r="I4" s="7"/>
      <c r="P4" s="11"/>
      <c r="Q4" s="9"/>
      <c r="R4" s="9"/>
      <c r="S4" s="9"/>
      <c r="T4" s="9"/>
    </row>
    <row r="5" spans="1:20" x14ac:dyDescent="0.25">
      <c r="A5" s="1">
        <v>5</v>
      </c>
      <c r="B5" s="2" t="s">
        <v>3</v>
      </c>
      <c r="C5" s="3">
        <v>33</v>
      </c>
      <c r="D5" s="3">
        <v>6</v>
      </c>
      <c r="E5" s="6">
        <v>0</v>
      </c>
      <c r="F5">
        <v>1</v>
      </c>
      <c r="G5">
        <v>0</v>
      </c>
      <c r="I5" s="6"/>
      <c r="P5" s="11"/>
      <c r="Q5" s="9"/>
      <c r="R5" s="9"/>
      <c r="S5" s="9"/>
      <c r="T5" s="9"/>
    </row>
    <row r="6" spans="1:20" x14ac:dyDescent="0.25">
      <c r="A6" s="1">
        <v>6</v>
      </c>
      <c r="B6" s="2" t="s">
        <v>2</v>
      </c>
      <c r="C6" s="3">
        <v>28</v>
      </c>
      <c r="D6" s="3">
        <v>5</v>
      </c>
      <c r="E6" s="6">
        <v>1</v>
      </c>
      <c r="F6">
        <v>0</v>
      </c>
      <c r="G6">
        <v>0</v>
      </c>
      <c r="P6" s="11"/>
      <c r="Q6" s="9"/>
      <c r="R6" s="9"/>
      <c r="S6" s="9"/>
      <c r="T6" s="9"/>
    </row>
    <row r="7" spans="1:20" x14ac:dyDescent="0.25">
      <c r="A7" s="1">
        <v>7</v>
      </c>
      <c r="B7" s="2" t="s">
        <v>3</v>
      </c>
      <c r="C7" s="3">
        <v>19</v>
      </c>
      <c r="D7" s="3">
        <v>11</v>
      </c>
      <c r="E7" s="6">
        <v>0</v>
      </c>
      <c r="F7">
        <v>1</v>
      </c>
      <c r="G7">
        <v>0</v>
      </c>
    </row>
    <row r="8" spans="1:20" x14ac:dyDescent="0.25">
      <c r="A8" s="1">
        <v>8</v>
      </c>
      <c r="B8" s="2" t="s">
        <v>3</v>
      </c>
      <c r="C8" s="3">
        <v>11</v>
      </c>
      <c r="D8" s="3">
        <v>9</v>
      </c>
      <c r="E8" s="6">
        <v>0</v>
      </c>
      <c r="F8">
        <v>1</v>
      </c>
      <c r="G8">
        <v>0</v>
      </c>
    </row>
    <row r="9" spans="1:20" x14ac:dyDescent="0.25">
      <c r="A9" s="1">
        <v>9</v>
      </c>
      <c r="B9" s="2" t="s">
        <v>3</v>
      </c>
      <c r="C9" s="3">
        <v>23</v>
      </c>
      <c r="D9" s="3">
        <v>13</v>
      </c>
      <c r="E9" s="6">
        <v>0</v>
      </c>
      <c r="F9">
        <v>1</v>
      </c>
      <c r="G9">
        <v>0</v>
      </c>
    </row>
    <row r="10" spans="1:20" x14ac:dyDescent="0.25">
      <c r="A10" s="1">
        <v>10</v>
      </c>
      <c r="B10" s="2" t="s">
        <v>2</v>
      </c>
      <c r="C10" s="3">
        <v>13</v>
      </c>
      <c r="D10" s="3">
        <v>1</v>
      </c>
      <c r="E10" s="6">
        <v>1</v>
      </c>
      <c r="F10">
        <v>0</v>
      </c>
      <c r="G10">
        <v>0</v>
      </c>
    </row>
    <row r="11" spans="1:20" x14ac:dyDescent="0.25">
      <c r="A11" s="1">
        <v>11</v>
      </c>
      <c r="B11" s="2" t="s">
        <v>3</v>
      </c>
      <c r="C11" s="3">
        <v>33</v>
      </c>
      <c r="D11" s="3">
        <v>18</v>
      </c>
      <c r="E11" s="6">
        <v>0</v>
      </c>
      <c r="F11">
        <v>1</v>
      </c>
      <c r="G11">
        <v>0</v>
      </c>
    </row>
    <row r="12" spans="1:20" x14ac:dyDescent="0.25">
      <c r="A12" s="1">
        <v>12</v>
      </c>
      <c r="B12" s="2" t="s">
        <v>3</v>
      </c>
      <c r="C12" s="3">
        <v>44</v>
      </c>
      <c r="D12" s="3">
        <v>7</v>
      </c>
      <c r="E12" s="6">
        <v>0</v>
      </c>
      <c r="F12">
        <v>1</v>
      </c>
      <c r="G12">
        <v>0</v>
      </c>
    </row>
    <row r="13" spans="1:20" x14ac:dyDescent="0.25">
      <c r="A13" s="1">
        <v>15</v>
      </c>
      <c r="B13" s="2" t="s">
        <v>2</v>
      </c>
      <c r="C13" s="3">
        <v>55</v>
      </c>
      <c r="D13" s="3">
        <v>0</v>
      </c>
      <c r="E13" s="6">
        <v>1</v>
      </c>
      <c r="F13">
        <v>0</v>
      </c>
      <c r="G13">
        <v>0</v>
      </c>
      <c r="K13" s="6"/>
    </row>
    <row r="14" spans="1:20" x14ac:dyDescent="0.25">
      <c r="A14" s="1">
        <v>16</v>
      </c>
      <c r="B14" s="2" t="s">
        <v>2</v>
      </c>
      <c r="C14" s="3">
        <v>22</v>
      </c>
      <c r="D14" s="3">
        <v>3</v>
      </c>
      <c r="E14" s="6">
        <v>1</v>
      </c>
      <c r="F14">
        <v>0</v>
      </c>
      <c r="G14">
        <v>0</v>
      </c>
    </row>
    <row r="15" spans="1:20" x14ac:dyDescent="0.25">
      <c r="A15" s="1">
        <v>17</v>
      </c>
      <c r="B15" s="2" t="s">
        <v>2</v>
      </c>
      <c r="C15" s="3">
        <v>26</v>
      </c>
      <c r="D15" s="3">
        <v>3</v>
      </c>
      <c r="E15" s="6">
        <v>1</v>
      </c>
      <c r="F15">
        <v>0</v>
      </c>
      <c r="G15">
        <v>0</v>
      </c>
      <c r="K15" s="6"/>
    </row>
    <row r="16" spans="1:20" x14ac:dyDescent="0.25">
      <c r="A16" s="1">
        <v>19</v>
      </c>
      <c r="B16" s="2" t="s">
        <v>3</v>
      </c>
      <c r="C16" s="3">
        <v>30</v>
      </c>
      <c r="D16" s="3">
        <v>7</v>
      </c>
      <c r="E16" s="6">
        <v>0</v>
      </c>
      <c r="F16">
        <v>1</v>
      </c>
      <c r="G16">
        <v>0</v>
      </c>
    </row>
    <row r="17" spans="1:7" x14ac:dyDescent="0.25">
      <c r="A17" s="1">
        <v>20</v>
      </c>
      <c r="B17" s="2" t="s">
        <v>2</v>
      </c>
      <c r="C17" s="3">
        <v>19</v>
      </c>
      <c r="D17" s="3">
        <v>3</v>
      </c>
      <c r="E17" s="6">
        <v>1</v>
      </c>
      <c r="F17">
        <v>0</v>
      </c>
      <c r="G17">
        <v>0</v>
      </c>
    </row>
    <row r="18" spans="1:7" x14ac:dyDescent="0.25">
      <c r="A18" s="1">
        <v>21</v>
      </c>
      <c r="B18" s="2" t="s">
        <v>3</v>
      </c>
      <c r="C18" s="3">
        <v>33</v>
      </c>
      <c r="D18" s="3">
        <v>10</v>
      </c>
      <c r="E18" s="6">
        <v>0</v>
      </c>
      <c r="F18">
        <v>1</v>
      </c>
      <c r="G18">
        <v>0</v>
      </c>
    </row>
    <row r="19" spans="1:7" x14ac:dyDescent="0.25">
      <c r="A19" s="1">
        <v>22</v>
      </c>
      <c r="B19" s="2" t="s">
        <v>3</v>
      </c>
      <c r="C19" s="3">
        <v>22</v>
      </c>
      <c r="D19" s="3">
        <v>14</v>
      </c>
      <c r="E19" s="6">
        <v>0</v>
      </c>
      <c r="F19">
        <v>1</v>
      </c>
      <c r="G19">
        <v>0</v>
      </c>
    </row>
    <row r="20" spans="1:7" x14ac:dyDescent="0.25">
      <c r="A20" s="1">
        <v>25</v>
      </c>
      <c r="B20" s="2" t="s">
        <v>3</v>
      </c>
      <c r="C20" s="3">
        <v>34</v>
      </c>
      <c r="D20" s="3">
        <v>9</v>
      </c>
      <c r="E20" s="6">
        <v>0</v>
      </c>
      <c r="F20">
        <v>1</v>
      </c>
      <c r="G20">
        <v>0</v>
      </c>
    </row>
    <row r="21" spans="1:7" x14ac:dyDescent="0.25">
      <c r="A21" s="1">
        <v>26</v>
      </c>
      <c r="B21" s="2" t="s">
        <v>3</v>
      </c>
      <c r="C21" s="3">
        <v>38</v>
      </c>
      <c r="D21" s="3">
        <v>13</v>
      </c>
      <c r="E21" s="6">
        <v>0</v>
      </c>
      <c r="F21">
        <v>1</v>
      </c>
      <c r="G21">
        <v>0</v>
      </c>
    </row>
    <row r="22" spans="1:7" x14ac:dyDescent="0.25">
      <c r="A22" s="1">
        <v>27</v>
      </c>
      <c r="B22" s="2" t="s">
        <v>2</v>
      </c>
      <c r="C22" s="3">
        <v>27</v>
      </c>
      <c r="D22" s="3">
        <v>1</v>
      </c>
      <c r="E22" s="6">
        <v>1</v>
      </c>
      <c r="F22">
        <v>0</v>
      </c>
      <c r="G22">
        <v>0</v>
      </c>
    </row>
    <row r="23" spans="1:7" x14ac:dyDescent="0.25">
      <c r="A23" s="1">
        <v>28</v>
      </c>
      <c r="B23" s="2" t="s">
        <v>2</v>
      </c>
      <c r="C23" s="3">
        <v>27</v>
      </c>
      <c r="D23" s="3">
        <v>3</v>
      </c>
      <c r="E23" s="6">
        <v>1</v>
      </c>
      <c r="F23">
        <v>0</v>
      </c>
      <c r="G23">
        <v>0</v>
      </c>
    </row>
    <row r="24" spans="1:7" x14ac:dyDescent="0.25">
      <c r="A24" s="1">
        <v>29</v>
      </c>
      <c r="B24" s="2" t="s">
        <v>3</v>
      </c>
      <c r="C24" s="3">
        <v>26</v>
      </c>
      <c r="D24" s="3">
        <v>7</v>
      </c>
      <c r="E24" s="6">
        <v>0</v>
      </c>
      <c r="F24">
        <v>1</v>
      </c>
      <c r="G24">
        <v>0</v>
      </c>
    </row>
    <row r="25" spans="1:7" x14ac:dyDescent="0.25">
      <c r="A25" s="1">
        <v>30</v>
      </c>
      <c r="B25" s="2" t="s">
        <v>3</v>
      </c>
      <c r="C25" s="3">
        <v>34</v>
      </c>
      <c r="D25" s="3">
        <v>9</v>
      </c>
      <c r="E25" s="6">
        <v>0</v>
      </c>
      <c r="F25">
        <v>1</v>
      </c>
      <c r="G25">
        <v>0</v>
      </c>
    </row>
    <row r="26" spans="1:7" x14ac:dyDescent="0.25">
      <c r="A26" s="1">
        <v>31</v>
      </c>
      <c r="B26" s="2" t="s">
        <v>3</v>
      </c>
      <c r="C26" s="3">
        <v>35</v>
      </c>
      <c r="D26" s="3">
        <v>14</v>
      </c>
      <c r="E26" s="6">
        <v>0</v>
      </c>
      <c r="F26">
        <v>1</v>
      </c>
      <c r="G26">
        <v>0</v>
      </c>
    </row>
    <row r="27" spans="1:7" x14ac:dyDescent="0.25">
      <c r="A27" s="1">
        <v>32</v>
      </c>
      <c r="B27" s="2" t="s">
        <v>2</v>
      </c>
      <c r="C27" s="3">
        <v>25</v>
      </c>
      <c r="D27" s="3">
        <v>2</v>
      </c>
      <c r="E27" s="6">
        <v>1</v>
      </c>
      <c r="F27">
        <v>0</v>
      </c>
      <c r="G27">
        <v>0</v>
      </c>
    </row>
    <row r="28" spans="1:7" x14ac:dyDescent="0.25">
      <c r="A28" s="1">
        <v>34</v>
      </c>
      <c r="B28" s="2" t="s">
        <v>2</v>
      </c>
      <c r="C28" s="3">
        <v>26</v>
      </c>
      <c r="D28" s="3">
        <v>1</v>
      </c>
      <c r="E28" s="6">
        <v>1</v>
      </c>
      <c r="F28">
        <v>0</v>
      </c>
      <c r="G28">
        <v>0</v>
      </c>
    </row>
    <row r="29" spans="1:7" x14ac:dyDescent="0.25">
      <c r="A29" s="1">
        <v>36</v>
      </c>
      <c r="B29" s="2" t="s">
        <v>2</v>
      </c>
      <c r="C29" s="3">
        <v>10</v>
      </c>
      <c r="D29" s="3">
        <v>1</v>
      </c>
      <c r="E29" s="6">
        <v>1</v>
      </c>
      <c r="F29">
        <v>0</v>
      </c>
      <c r="G29">
        <v>0</v>
      </c>
    </row>
    <row r="30" spans="1:7" x14ac:dyDescent="0.25">
      <c r="A30" s="1">
        <v>38</v>
      </c>
      <c r="B30" s="2" t="s">
        <v>2</v>
      </c>
      <c r="C30" s="3">
        <v>12</v>
      </c>
      <c r="D30" s="3">
        <v>4</v>
      </c>
      <c r="E30" s="6">
        <v>1</v>
      </c>
      <c r="F30">
        <v>0</v>
      </c>
      <c r="G30">
        <v>0</v>
      </c>
    </row>
    <row r="31" spans="1:7" x14ac:dyDescent="0.25">
      <c r="A31" s="1">
        <v>39</v>
      </c>
      <c r="B31" s="2" t="s">
        <v>2</v>
      </c>
      <c r="C31" s="3">
        <v>15</v>
      </c>
      <c r="D31" s="3">
        <v>3</v>
      </c>
      <c r="E31" s="6">
        <v>1</v>
      </c>
      <c r="F31">
        <v>0</v>
      </c>
      <c r="G31">
        <v>0</v>
      </c>
    </row>
    <row r="32" spans="1:7" x14ac:dyDescent="0.25">
      <c r="A32" s="1">
        <v>41</v>
      </c>
      <c r="B32" s="2" t="s">
        <v>2</v>
      </c>
      <c r="C32" s="3">
        <v>7</v>
      </c>
      <c r="D32" s="3">
        <v>0</v>
      </c>
      <c r="E32" s="6">
        <v>1</v>
      </c>
      <c r="F32">
        <v>0</v>
      </c>
      <c r="G32">
        <v>0</v>
      </c>
    </row>
    <row r="33" spans="1:7" x14ac:dyDescent="0.25">
      <c r="A33" s="1">
        <v>43</v>
      </c>
      <c r="B33" s="2" t="s">
        <v>3</v>
      </c>
      <c r="C33" s="3">
        <v>32</v>
      </c>
      <c r="D33" s="3">
        <v>15</v>
      </c>
      <c r="E33" s="6">
        <v>0</v>
      </c>
      <c r="F33">
        <v>1</v>
      </c>
      <c r="G33">
        <v>0</v>
      </c>
    </row>
    <row r="34" spans="1:7" x14ac:dyDescent="0.25">
      <c r="A34" s="1">
        <v>44</v>
      </c>
      <c r="B34" s="2" t="s">
        <v>3</v>
      </c>
      <c r="C34" s="3">
        <v>14</v>
      </c>
      <c r="D34" s="3">
        <v>11</v>
      </c>
      <c r="E34" s="6">
        <v>0</v>
      </c>
      <c r="F34">
        <v>1</v>
      </c>
      <c r="G34">
        <v>0</v>
      </c>
    </row>
    <row r="35" spans="1:7" x14ac:dyDescent="0.25">
      <c r="A35" s="1">
        <v>47</v>
      </c>
      <c r="B35" s="2" t="s">
        <v>3</v>
      </c>
      <c r="C35" s="3">
        <v>17</v>
      </c>
      <c r="D35" s="3">
        <v>10</v>
      </c>
      <c r="E35" s="6">
        <v>0</v>
      </c>
      <c r="F35">
        <v>1</v>
      </c>
      <c r="G35">
        <v>0</v>
      </c>
    </row>
    <row r="36" spans="1:7" x14ac:dyDescent="0.25">
      <c r="A36" s="1">
        <v>48</v>
      </c>
      <c r="B36" s="2" t="s">
        <v>3</v>
      </c>
      <c r="C36" s="3">
        <v>20</v>
      </c>
      <c r="D36" s="3">
        <v>16</v>
      </c>
      <c r="E36" s="6">
        <v>0</v>
      </c>
      <c r="F36">
        <v>1</v>
      </c>
      <c r="G36">
        <v>0</v>
      </c>
    </row>
    <row r="37" spans="1:7" x14ac:dyDescent="0.25">
      <c r="A37" s="1">
        <v>51</v>
      </c>
      <c r="B37" s="2" t="s">
        <v>3</v>
      </c>
      <c r="C37" s="3">
        <v>38</v>
      </c>
      <c r="D37" s="3">
        <v>19</v>
      </c>
      <c r="E37" s="6">
        <v>0</v>
      </c>
      <c r="F37">
        <v>1</v>
      </c>
      <c r="G37">
        <v>0</v>
      </c>
    </row>
    <row r="38" spans="1:7" x14ac:dyDescent="0.25">
      <c r="A38" s="1">
        <v>52</v>
      </c>
      <c r="B38" s="2" t="s">
        <v>2</v>
      </c>
      <c r="C38" s="3">
        <v>10</v>
      </c>
      <c r="D38" s="3">
        <v>3</v>
      </c>
      <c r="E38" s="6">
        <v>1</v>
      </c>
      <c r="F38">
        <v>0</v>
      </c>
      <c r="G38">
        <v>0</v>
      </c>
    </row>
    <row r="39" spans="1:7" x14ac:dyDescent="0.25">
      <c r="A39" s="1">
        <v>53</v>
      </c>
      <c r="B39" s="2" t="s">
        <v>3</v>
      </c>
      <c r="C39" s="3">
        <v>10</v>
      </c>
      <c r="D39" s="3">
        <v>12</v>
      </c>
      <c r="E39" s="6">
        <v>0</v>
      </c>
      <c r="F39">
        <v>1</v>
      </c>
      <c r="G39">
        <v>0</v>
      </c>
    </row>
    <row r="40" spans="1:7" x14ac:dyDescent="0.25">
      <c r="A40" s="1">
        <v>55</v>
      </c>
      <c r="B40" s="2" t="s">
        <v>3</v>
      </c>
      <c r="C40" s="3">
        <v>34</v>
      </c>
      <c r="D40" s="3">
        <v>15</v>
      </c>
      <c r="E40" s="6">
        <v>0</v>
      </c>
      <c r="F40">
        <v>1</v>
      </c>
      <c r="G40">
        <v>0</v>
      </c>
    </row>
    <row r="41" spans="1:7" x14ac:dyDescent="0.25">
      <c r="A41" s="1">
        <v>56</v>
      </c>
      <c r="B41" s="2" t="s">
        <v>3</v>
      </c>
      <c r="C41" s="3">
        <v>31</v>
      </c>
      <c r="D41" s="3">
        <v>14</v>
      </c>
      <c r="E41" s="6">
        <v>0</v>
      </c>
      <c r="F41">
        <v>1</v>
      </c>
      <c r="G41">
        <v>0</v>
      </c>
    </row>
    <row r="42" spans="1:7" x14ac:dyDescent="0.25">
      <c r="A42" s="1">
        <v>58</v>
      </c>
      <c r="B42" s="2" t="s">
        <v>2</v>
      </c>
      <c r="C42" s="3">
        <v>22</v>
      </c>
      <c r="D42" s="3">
        <v>2</v>
      </c>
      <c r="E42" s="6">
        <v>1</v>
      </c>
      <c r="F42">
        <v>0</v>
      </c>
      <c r="G42">
        <v>0</v>
      </c>
    </row>
    <row r="43" spans="1:7" x14ac:dyDescent="0.25">
      <c r="A43" s="1">
        <v>59</v>
      </c>
      <c r="B43" s="2" t="s">
        <v>3</v>
      </c>
      <c r="C43" s="3">
        <v>28</v>
      </c>
      <c r="D43" s="3">
        <v>11</v>
      </c>
      <c r="E43" s="6">
        <v>0</v>
      </c>
      <c r="F43">
        <v>1</v>
      </c>
      <c r="G43">
        <v>0</v>
      </c>
    </row>
    <row r="44" spans="1:7" x14ac:dyDescent="0.25">
      <c r="A44" s="1">
        <v>60</v>
      </c>
      <c r="B44" s="2" t="s">
        <v>2</v>
      </c>
      <c r="C44" s="3">
        <v>10</v>
      </c>
      <c r="D44" s="3">
        <v>4</v>
      </c>
      <c r="E44" s="6">
        <v>1</v>
      </c>
      <c r="F44">
        <v>0</v>
      </c>
      <c r="G44">
        <v>0</v>
      </c>
    </row>
    <row r="45" spans="1:7" x14ac:dyDescent="0.25">
      <c r="A45" s="1">
        <v>61</v>
      </c>
      <c r="B45" s="2" t="s">
        <v>3</v>
      </c>
      <c r="C45" s="3">
        <v>27</v>
      </c>
      <c r="D45" s="3">
        <v>14</v>
      </c>
      <c r="E45" s="6">
        <v>0</v>
      </c>
      <c r="F45">
        <v>1</v>
      </c>
      <c r="G45">
        <v>0</v>
      </c>
    </row>
    <row r="46" spans="1:7" x14ac:dyDescent="0.25">
      <c r="A46" s="1">
        <v>63</v>
      </c>
      <c r="B46" s="2" t="s">
        <v>3</v>
      </c>
      <c r="C46" s="3">
        <v>35</v>
      </c>
      <c r="D46" s="3">
        <v>13</v>
      </c>
      <c r="E46" s="6">
        <v>0</v>
      </c>
      <c r="F46">
        <v>1</v>
      </c>
      <c r="G46">
        <v>0</v>
      </c>
    </row>
    <row r="47" spans="1:7" x14ac:dyDescent="0.25">
      <c r="A47" s="1">
        <v>64</v>
      </c>
      <c r="B47" s="2" t="s">
        <v>2</v>
      </c>
      <c r="C47" s="3">
        <v>11</v>
      </c>
      <c r="D47" s="3">
        <v>0</v>
      </c>
      <c r="E47" s="6">
        <v>1</v>
      </c>
      <c r="F47">
        <v>0</v>
      </c>
      <c r="G47">
        <v>0</v>
      </c>
    </row>
    <row r="48" spans="1:7" x14ac:dyDescent="0.25">
      <c r="A48" s="1">
        <v>65</v>
      </c>
      <c r="B48" s="2" t="s">
        <v>2</v>
      </c>
      <c r="C48" s="3">
        <v>18</v>
      </c>
      <c r="D48" s="3">
        <v>1</v>
      </c>
      <c r="E48" s="6">
        <v>1</v>
      </c>
      <c r="F48">
        <v>0</v>
      </c>
      <c r="G48">
        <v>0</v>
      </c>
    </row>
    <row r="49" spans="1:7" x14ac:dyDescent="0.25">
      <c r="A49" s="1">
        <v>67</v>
      </c>
      <c r="B49" s="2" t="s">
        <v>3</v>
      </c>
      <c r="C49" s="3">
        <v>48</v>
      </c>
      <c r="D49" s="3">
        <v>10</v>
      </c>
      <c r="E49" s="6">
        <v>0</v>
      </c>
      <c r="F49">
        <v>1</v>
      </c>
      <c r="G49">
        <v>0</v>
      </c>
    </row>
    <row r="50" spans="1:7" x14ac:dyDescent="0.25">
      <c r="A50" s="1">
        <v>69</v>
      </c>
      <c r="B50" s="2" t="s">
        <v>3</v>
      </c>
      <c r="C50" s="3">
        <v>12</v>
      </c>
      <c r="D50" s="3">
        <v>19</v>
      </c>
      <c r="E50" s="6">
        <v>0</v>
      </c>
      <c r="F50">
        <v>1</v>
      </c>
      <c r="G50">
        <v>0</v>
      </c>
    </row>
    <row r="51" spans="1:7" x14ac:dyDescent="0.25">
      <c r="A51" s="1">
        <v>70</v>
      </c>
      <c r="B51" s="2" t="s">
        <v>2</v>
      </c>
      <c r="C51" s="3">
        <v>20</v>
      </c>
      <c r="D51" s="3">
        <v>4</v>
      </c>
      <c r="E51" s="6">
        <v>1</v>
      </c>
      <c r="F51">
        <v>0</v>
      </c>
      <c r="G51">
        <v>0</v>
      </c>
    </row>
    <row r="52" spans="1:7" x14ac:dyDescent="0.25">
      <c r="A52" s="1">
        <v>71</v>
      </c>
      <c r="B52" s="2" t="s">
        <v>3</v>
      </c>
      <c r="C52" s="3">
        <v>38</v>
      </c>
      <c r="D52" s="3">
        <v>12</v>
      </c>
      <c r="E52" s="6">
        <v>0</v>
      </c>
      <c r="F52">
        <v>1</v>
      </c>
      <c r="G52">
        <v>0</v>
      </c>
    </row>
    <row r="53" spans="1:7" x14ac:dyDescent="0.25">
      <c r="A53" s="1">
        <v>72</v>
      </c>
      <c r="B53" s="2" t="s">
        <v>3</v>
      </c>
      <c r="C53" s="3">
        <v>36</v>
      </c>
      <c r="D53" s="3">
        <v>13</v>
      </c>
      <c r="E53" s="6">
        <v>0</v>
      </c>
      <c r="F53">
        <v>1</v>
      </c>
      <c r="G53">
        <v>0</v>
      </c>
    </row>
    <row r="54" spans="1:7" x14ac:dyDescent="0.25">
      <c r="A54" s="1">
        <v>73</v>
      </c>
      <c r="B54" s="2" t="s">
        <v>3</v>
      </c>
      <c r="C54" s="3">
        <v>37</v>
      </c>
      <c r="D54" s="3">
        <v>11</v>
      </c>
      <c r="E54" s="6">
        <v>0</v>
      </c>
      <c r="F54">
        <v>1</v>
      </c>
      <c r="G54">
        <v>0</v>
      </c>
    </row>
    <row r="55" spans="1:7" x14ac:dyDescent="0.25">
      <c r="A55" s="1">
        <v>74</v>
      </c>
      <c r="B55" s="2" t="s">
        <v>3</v>
      </c>
      <c r="C55" s="3">
        <v>24</v>
      </c>
      <c r="D55" s="3">
        <v>15</v>
      </c>
      <c r="E55" s="6">
        <v>0</v>
      </c>
      <c r="F55">
        <v>1</v>
      </c>
      <c r="G55">
        <v>0</v>
      </c>
    </row>
    <row r="56" spans="1:7" x14ac:dyDescent="0.25">
      <c r="A56" s="1">
        <v>75</v>
      </c>
      <c r="B56" s="2" t="s">
        <v>3</v>
      </c>
      <c r="C56" s="3">
        <v>18</v>
      </c>
      <c r="D56" s="3">
        <v>10</v>
      </c>
      <c r="E56" s="6">
        <v>0</v>
      </c>
      <c r="F56">
        <v>1</v>
      </c>
      <c r="G56">
        <v>0</v>
      </c>
    </row>
    <row r="57" spans="1:7" x14ac:dyDescent="0.25">
      <c r="A57" s="1">
        <v>76</v>
      </c>
      <c r="B57" s="2" t="s">
        <v>3</v>
      </c>
      <c r="C57" s="3">
        <v>34</v>
      </c>
      <c r="D57" s="3">
        <v>13</v>
      </c>
      <c r="E57" s="6">
        <v>0</v>
      </c>
      <c r="F57">
        <v>1</v>
      </c>
      <c r="G57">
        <v>0</v>
      </c>
    </row>
    <row r="58" spans="1:7" x14ac:dyDescent="0.25">
      <c r="A58" s="1">
        <v>77</v>
      </c>
      <c r="B58" s="2" t="s">
        <v>3</v>
      </c>
      <c r="C58" s="3">
        <v>28</v>
      </c>
      <c r="D58" s="3">
        <v>16</v>
      </c>
      <c r="E58" s="6">
        <v>0</v>
      </c>
      <c r="F58">
        <v>1</v>
      </c>
      <c r="G58">
        <v>0</v>
      </c>
    </row>
    <row r="59" spans="1:7" x14ac:dyDescent="0.25">
      <c r="A59" s="1">
        <v>78</v>
      </c>
      <c r="B59" s="2" t="s">
        <v>3</v>
      </c>
      <c r="C59" s="3">
        <v>25</v>
      </c>
      <c r="D59" s="3">
        <v>16</v>
      </c>
      <c r="E59" s="6">
        <v>0</v>
      </c>
      <c r="F59">
        <v>1</v>
      </c>
      <c r="G59">
        <v>0</v>
      </c>
    </row>
    <row r="60" spans="1:7" x14ac:dyDescent="0.25">
      <c r="A60" s="1">
        <v>79</v>
      </c>
      <c r="B60" s="2" t="s">
        <v>3</v>
      </c>
      <c r="C60" s="3">
        <v>25</v>
      </c>
      <c r="D60" s="3">
        <v>12</v>
      </c>
      <c r="E60" s="6">
        <v>0</v>
      </c>
      <c r="F60">
        <v>1</v>
      </c>
      <c r="G60">
        <v>0</v>
      </c>
    </row>
    <row r="61" spans="1:7" x14ac:dyDescent="0.25">
      <c r="A61" s="1">
        <v>80</v>
      </c>
      <c r="B61" s="2" t="s">
        <v>3</v>
      </c>
      <c r="C61" s="3">
        <v>30</v>
      </c>
      <c r="D61" s="3">
        <v>6</v>
      </c>
      <c r="E61" s="6">
        <v>0</v>
      </c>
      <c r="F61">
        <v>1</v>
      </c>
      <c r="G61">
        <v>0</v>
      </c>
    </row>
    <row r="62" spans="1:7" x14ac:dyDescent="0.25">
      <c r="A62" s="1">
        <v>81</v>
      </c>
      <c r="B62" s="2" t="s">
        <v>3</v>
      </c>
      <c r="C62" s="3">
        <v>21</v>
      </c>
      <c r="D62" s="3">
        <v>16</v>
      </c>
      <c r="E62" s="6">
        <v>0</v>
      </c>
      <c r="F62">
        <v>1</v>
      </c>
      <c r="G62">
        <v>0</v>
      </c>
    </row>
    <row r="63" spans="1:7" x14ac:dyDescent="0.25">
      <c r="A63" s="1">
        <v>83</v>
      </c>
      <c r="B63" s="2" t="s">
        <v>3</v>
      </c>
      <c r="C63" s="3">
        <v>16</v>
      </c>
      <c r="D63" s="3">
        <v>14</v>
      </c>
      <c r="E63" s="6">
        <v>0</v>
      </c>
      <c r="F63">
        <v>1</v>
      </c>
      <c r="G63">
        <v>0</v>
      </c>
    </row>
    <row r="64" spans="1:7" x14ac:dyDescent="0.25">
      <c r="A64" s="1">
        <v>84</v>
      </c>
      <c r="B64" s="2" t="s">
        <v>2</v>
      </c>
      <c r="C64" s="3">
        <v>23</v>
      </c>
      <c r="D64" s="3">
        <v>2</v>
      </c>
      <c r="E64" s="6">
        <v>1</v>
      </c>
      <c r="F64">
        <v>0</v>
      </c>
      <c r="G64">
        <v>0</v>
      </c>
    </row>
    <row r="65" spans="1:7" x14ac:dyDescent="0.25">
      <c r="A65" s="1">
        <v>86</v>
      </c>
      <c r="B65" s="2" t="s">
        <v>3</v>
      </c>
      <c r="C65" s="3">
        <v>14</v>
      </c>
      <c r="D65" s="3">
        <v>10</v>
      </c>
      <c r="E65" s="6">
        <v>0</v>
      </c>
      <c r="F65">
        <v>1</v>
      </c>
      <c r="G65">
        <v>0</v>
      </c>
    </row>
    <row r="66" spans="1:7" x14ac:dyDescent="0.25">
      <c r="A66" s="1">
        <v>87</v>
      </c>
      <c r="B66" s="2" t="s">
        <v>2</v>
      </c>
      <c r="C66" s="3">
        <v>11</v>
      </c>
      <c r="D66" s="3">
        <v>2</v>
      </c>
      <c r="E66" s="6">
        <v>1</v>
      </c>
      <c r="F66">
        <v>0</v>
      </c>
      <c r="G66">
        <v>0</v>
      </c>
    </row>
    <row r="67" spans="1:7" x14ac:dyDescent="0.25">
      <c r="A67" s="1">
        <v>88</v>
      </c>
      <c r="B67" s="2" t="s">
        <v>3</v>
      </c>
      <c r="C67" s="3">
        <v>20</v>
      </c>
      <c r="D67" s="3">
        <v>14</v>
      </c>
      <c r="E67" s="6">
        <v>0</v>
      </c>
      <c r="F67">
        <v>1</v>
      </c>
      <c r="G67">
        <v>0</v>
      </c>
    </row>
    <row r="68" spans="1:7" x14ac:dyDescent="0.25">
      <c r="A68" s="1">
        <v>89</v>
      </c>
      <c r="B68" s="2" t="s">
        <v>3</v>
      </c>
      <c r="C68" s="3">
        <v>32</v>
      </c>
      <c r="D68" s="3">
        <v>15</v>
      </c>
      <c r="E68" s="6">
        <v>0</v>
      </c>
      <c r="F68">
        <v>1</v>
      </c>
      <c r="G68">
        <v>0</v>
      </c>
    </row>
    <row r="69" spans="1:7" x14ac:dyDescent="0.25">
      <c r="A69" s="1">
        <v>91</v>
      </c>
      <c r="B69" s="2" t="s">
        <v>3</v>
      </c>
      <c r="C69" s="3">
        <v>24</v>
      </c>
      <c r="D69" s="3">
        <v>10</v>
      </c>
      <c r="E69" s="6">
        <v>0</v>
      </c>
      <c r="F69">
        <v>1</v>
      </c>
      <c r="G69">
        <v>0</v>
      </c>
    </row>
    <row r="70" spans="1:7" x14ac:dyDescent="0.25">
      <c r="A70" s="1">
        <v>92</v>
      </c>
      <c r="B70" s="2" t="s">
        <v>3</v>
      </c>
      <c r="C70" s="3">
        <v>14</v>
      </c>
      <c r="D70" s="3">
        <v>15</v>
      </c>
      <c r="E70" s="6">
        <v>0</v>
      </c>
      <c r="F70">
        <v>1</v>
      </c>
      <c r="G70">
        <v>0</v>
      </c>
    </row>
    <row r="71" spans="1:7" x14ac:dyDescent="0.25">
      <c r="A71" s="1">
        <v>93</v>
      </c>
      <c r="B71" s="2" t="s">
        <v>3</v>
      </c>
      <c r="C71" s="3">
        <v>24</v>
      </c>
      <c r="D71" s="3">
        <v>18</v>
      </c>
      <c r="E71" s="6">
        <v>0</v>
      </c>
      <c r="F71">
        <v>1</v>
      </c>
      <c r="G71">
        <v>0</v>
      </c>
    </row>
    <row r="72" spans="1:7" x14ac:dyDescent="0.25">
      <c r="A72" s="1">
        <v>95</v>
      </c>
      <c r="B72" s="2" t="s">
        <v>2</v>
      </c>
      <c r="C72" s="3">
        <v>23</v>
      </c>
      <c r="D72" s="3">
        <v>1</v>
      </c>
      <c r="E72" s="6">
        <v>1</v>
      </c>
      <c r="F72">
        <v>0</v>
      </c>
      <c r="G72">
        <v>0</v>
      </c>
    </row>
    <row r="73" spans="1:7" x14ac:dyDescent="0.25">
      <c r="A73" s="1">
        <v>96</v>
      </c>
      <c r="B73" s="2" t="s">
        <v>3</v>
      </c>
      <c r="C73" s="3">
        <v>28</v>
      </c>
      <c r="D73" s="3">
        <v>10</v>
      </c>
      <c r="E73" s="6">
        <v>0</v>
      </c>
      <c r="F73">
        <v>1</v>
      </c>
      <c r="G73">
        <v>0</v>
      </c>
    </row>
    <row r="74" spans="1:7" x14ac:dyDescent="0.25">
      <c r="A74" s="1">
        <v>97</v>
      </c>
      <c r="B74" s="2" t="s">
        <v>3</v>
      </c>
      <c r="C74" s="3">
        <v>17</v>
      </c>
      <c r="D74" s="3">
        <v>11</v>
      </c>
      <c r="E74" s="6">
        <v>0</v>
      </c>
      <c r="F74">
        <v>1</v>
      </c>
      <c r="G74">
        <v>0</v>
      </c>
    </row>
    <row r="75" spans="1:7" x14ac:dyDescent="0.25">
      <c r="A75" s="1">
        <v>99</v>
      </c>
      <c r="B75" s="2" t="s">
        <v>3</v>
      </c>
      <c r="C75" s="3">
        <v>16</v>
      </c>
      <c r="D75" s="3">
        <v>15</v>
      </c>
      <c r="E75" s="6">
        <v>0</v>
      </c>
      <c r="F75">
        <v>1</v>
      </c>
      <c r="G75">
        <v>0</v>
      </c>
    </row>
    <row r="76" spans="1:7" x14ac:dyDescent="0.25">
      <c r="A76" s="1">
        <v>101</v>
      </c>
      <c r="B76" s="2" t="s">
        <v>3</v>
      </c>
      <c r="C76" s="3">
        <v>27</v>
      </c>
      <c r="D76" s="3">
        <v>12</v>
      </c>
      <c r="E76" s="6">
        <v>0</v>
      </c>
      <c r="F76">
        <v>1</v>
      </c>
      <c r="G76">
        <v>0</v>
      </c>
    </row>
    <row r="77" spans="1:7" x14ac:dyDescent="0.25">
      <c r="A77" s="1">
        <v>103</v>
      </c>
      <c r="B77" s="2" t="s">
        <v>2</v>
      </c>
      <c r="C77" s="3">
        <v>45</v>
      </c>
      <c r="D77" s="3">
        <v>1</v>
      </c>
      <c r="E77" s="6">
        <v>1</v>
      </c>
      <c r="F77">
        <v>0</v>
      </c>
      <c r="G77">
        <v>0</v>
      </c>
    </row>
    <row r="78" spans="1:7" x14ac:dyDescent="0.25">
      <c r="A78" s="1">
        <v>105</v>
      </c>
      <c r="B78" s="2" t="s">
        <v>2</v>
      </c>
      <c r="C78" s="3">
        <v>19</v>
      </c>
      <c r="D78" s="3">
        <v>5</v>
      </c>
      <c r="E78" s="6">
        <v>1</v>
      </c>
      <c r="F78">
        <v>0</v>
      </c>
      <c r="G78">
        <v>0</v>
      </c>
    </row>
    <row r="79" spans="1:7" x14ac:dyDescent="0.25">
      <c r="A79" s="1">
        <v>106</v>
      </c>
      <c r="B79" s="2" t="s">
        <v>3</v>
      </c>
      <c r="C79" s="3">
        <v>25</v>
      </c>
      <c r="D79" s="3">
        <v>17</v>
      </c>
      <c r="E79" s="6">
        <v>0</v>
      </c>
      <c r="F79">
        <v>1</v>
      </c>
      <c r="G79">
        <v>0</v>
      </c>
    </row>
    <row r="80" spans="1:7" x14ac:dyDescent="0.25">
      <c r="A80" s="1">
        <v>107</v>
      </c>
      <c r="B80" s="2" t="s">
        <v>3</v>
      </c>
      <c r="C80" s="3">
        <v>25</v>
      </c>
      <c r="D80" s="3">
        <v>14</v>
      </c>
      <c r="E80" s="6">
        <v>0</v>
      </c>
      <c r="F80">
        <v>1</v>
      </c>
      <c r="G80">
        <v>0</v>
      </c>
    </row>
    <row r="81" spans="1:7" x14ac:dyDescent="0.25">
      <c r="A81" s="1">
        <v>108</v>
      </c>
      <c r="B81" s="2" t="s">
        <v>2</v>
      </c>
      <c r="C81" s="3">
        <v>20</v>
      </c>
      <c r="D81" s="3">
        <v>0</v>
      </c>
      <c r="E81" s="6">
        <v>1</v>
      </c>
      <c r="F81">
        <v>0</v>
      </c>
      <c r="G81">
        <v>0</v>
      </c>
    </row>
    <row r="82" spans="1:7" x14ac:dyDescent="0.25">
      <c r="A82" s="1">
        <v>110</v>
      </c>
      <c r="B82" s="2" t="s">
        <v>3</v>
      </c>
      <c r="C82" s="3">
        <v>27</v>
      </c>
      <c r="D82" s="3">
        <v>6</v>
      </c>
      <c r="E82" s="6">
        <v>0</v>
      </c>
      <c r="F82">
        <v>1</v>
      </c>
      <c r="G82">
        <v>0</v>
      </c>
    </row>
    <row r="83" spans="1:7" x14ac:dyDescent="0.25">
      <c r="A83" s="1">
        <v>111</v>
      </c>
      <c r="B83" s="2" t="s">
        <v>3</v>
      </c>
      <c r="C83" s="3">
        <v>28</v>
      </c>
      <c r="D83" s="3">
        <v>8</v>
      </c>
      <c r="E83" s="6">
        <v>0</v>
      </c>
      <c r="F83">
        <v>1</v>
      </c>
      <c r="G83">
        <v>0</v>
      </c>
    </row>
    <row r="84" spans="1:7" x14ac:dyDescent="0.25">
      <c r="A84" s="1">
        <v>112</v>
      </c>
      <c r="B84" s="2" t="s">
        <v>2</v>
      </c>
      <c r="C84" s="3">
        <v>20</v>
      </c>
      <c r="D84" s="3">
        <v>4</v>
      </c>
      <c r="E84" s="6">
        <v>1</v>
      </c>
      <c r="F84">
        <v>0</v>
      </c>
      <c r="G84">
        <v>0</v>
      </c>
    </row>
    <row r="85" spans="1:7" x14ac:dyDescent="0.25">
      <c r="A85" s="1">
        <v>113</v>
      </c>
      <c r="B85" s="2" t="s">
        <v>3</v>
      </c>
      <c r="C85" s="3">
        <v>31</v>
      </c>
      <c r="D85" s="3">
        <v>6</v>
      </c>
      <c r="E85" s="6">
        <v>0</v>
      </c>
      <c r="F85">
        <v>1</v>
      </c>
      <c r="G85">
        <v>0</v>
      </c>
    </row>
    <row r="86" spans="1:7" x14ac:dyDescent="0.25">
      <c r="A86" s="1">
        <v>114</v>
      </c>
      <c r="B86" s="2" t="s">
        <v>3</v>
      </c>
      <c r="C86" s="3">
        <v>26</v>
      </c>
      <c r="D86" s="3">
        <v>12</v>
      </c>
      <c r="E86" s="6">
        <v>0</v>
      </c>
      <c r="F86">
        <v>1</v>
      </c>
      <c r="G86">
        <v>0</v>
      </c>
    </row>
    <row r="87" spans="1:7" x14ac:dyDescent="0.25">
      <c r="A87" s="1">
        <v>115</v>
      </c>
      <c r="B87" s="2" t="s">
        <v>3</v>
      </c>
      <c r="C87" s="3">
        <v>38</v>
      </c>
      <c r="D87" s="3">
        <v>8</v>
      </c>
      <c r="E87" s="6">
        <v>0</v>
      </c>
      <c r="F87">
        <v>1</v>
      </c>
      <c r="G87">
        <v>0</v>
      </c>
    </row>
    <row r="88" spans="1:7" x14ac:dyDescent="0.25">
      <c r="A88" s="1">
        <v>116</v>
      </c>
      <c r="B88" s="2" t="s">
        <v>2</v>
      </c>
      <c r="C88" s="3">
        <v>15</v>
      </c>
      <c r="D88" s="3">
        <v>1</v>
      </c>
      <c r="E88" s="6">
        <v>1</v>
      </c>
      <c r="F88">
        <v>0</v>
      </c>
      <c r="G88">
        <v>0</v>
      </c>
    </row>
    <row r="89" spans="1:7" x14ac:dyDescent="0.25">
      <c r="A89" s="1">
        <v>117</v>
      </c>
      <c r="B89" s="2" t="s">
        <v>2</v>
      </c>
      <c r="C89" s="3">
        <v>25</v>
      </c>
      <c r="D89" s="3">
        <v>5</v>
      </c>
      <c r="E89" s="6">
        <v>1</v>
      </c>
      <c r="F89">
        <v>0</v>
      </c>
      <c r="G89">
        <v>0</v>
      </c>
    </row>
    <row r="90" spans="1:7" x14ac:dyDescent="0.25">
      <c r="A90" s="1">
        <v>118</v>
      </c>
      <c r="B90" s="2" t="s">
        <v>3</v>
      </c>
      <c r="C90" s="3">
        <v>40</v>
      </c>
      <c r="D90" s="3">
        <v>13</v>
      </c>
      <c r="E90" s="6">
        <v>0</v>
      </c>
      <c r="F90">
        <v>1</v>
      </c>
      <c r="G90">
        <v>0</v>
      </c>
    </row>
    <row r="91" spans="1:7" x14ac:dyDescent="0.25">
      <c r="A91" s="1">
        <v>119</v>
      </c>
      <c r="B91" s="2" t="s">
        <v>3</v>
      </c>
      <c r="C91" s="3">
        <v>35</v>
      </c>
      <c r="D91" s="3">
        <v>15</v>
      </c>
      <c r="E91" s="6">
        <v>0</v>
      </c>
      <c r="F91">
        <v>1</v>
      </c>
      <c r="G91">
        <v>0</v>
      </c>
    </row>
    <row r="92" spans="1:7" x14ac:dyDescent="0.25">
      <c r="A92" s="1">
        <v>120</v>
      </c>
      <c r="B92" s="2" t="s">
        <v>2</v>
      </c>
      <c r="C92" s="3">
        <v>20</v>
      </c>
      <c r="D92" s="3">
        <v>1</v>
      </c>
      <c r="E92" s="6">
        <v>1</v>
      </c>
      <c r="F92">
        <v>0</v>
      </c>
      <c r="G92">
        <v>0</v>
      </c>
    </row>
    <row r="93" spans="1:7" x14ac:dyDescent="0.25">
      <c r="A93" s="1">
        <v>121</v>
      </c>
      <c r="B93" s="2" t="s">
        <v>3</v>
      </c>
      <c r="C93" s="3">
        <v>23</v>
      </c>
      <c r="D93" s="3">
        <v>7</v>
      </c>
      <c r="E93" s="6">
        <v>0</v>
      </c>
      <c r="F93">
        <v>1</v>
      </c>
      <c r="G93">
        <v>0</v>
      </c>
    </row>
    <row r="94" spans="1:7" x14ac:dyDescent="0.25">
      <c r="A94" s="1">
        <v>122</v>
      </c>
      <c r="B94" s="2" t="s">
        <v>3</v>
      </c>
      <c r="C94" s="3">
        <v>13</v>
      </c>
      <c r="D94" s="3">
        <v>12</v>
      </c>
      <c r="E94" s="6">
        <v>0</v>
      </c>
      <c r="F94">
        <v>1</v>
      </c>
      <c r="G94">
        <v>0</v>
      </c>
    </row>
    <row r="95" spans="1:7" x14ac:dyDescent="0.25">
      <c r="A95" s="1">
        <v>123</v>
      </c>
      <c r="B95" s="2" t="s">
        <v>2</v>
      </c>
      <c r="C95" s="3">
        <v>20</v>
      </c>
      <c r="D95" s="3">
        <v>1</v>
      </c>
      <c r="E95" s="6">
        <v>1</v>
      </c>
      <c r="F95">
        <v>0</v>
      </c>
      <c r="G95">
        <v>0</v>
      </c>
    </row>
    <row r="96" spans="1:7" x14ac:dyDescent="0.25">
      <c r="A96" s="1">
        <v>124</v>
      </c>
      <c r="B96" s="2" t="s">
        <v>2</v>
      </c>
      <c r="C96" s="3">
        <v>20</v>
      </c>
      <c r="D96" s="3">
        <v>5</v>
      </c>
      <c r="E96" s="6">
        <v>1</v>
      </c>
      <c r="F96">
        <v>0</v>
      </c>
      <c r="G96">
        <v>0</v>
      </c>
    </row>
    <row r="97" spans="1:7" x14ac:dyDescent="0.25">
      <c r="A97" s="1">
        <v>125</v>
      </c>
      <c r="B97" s="2" t="s">
        <v>2</v>
      </c>
      <c r="C97" s="3">
        <v>10</v>
      </c>
      <c r="D97" s="3">
        <v>5</v>
      </c>
      <c r="E97" s="6">
        <v>1</v>
      </c>
      <c r="F97">
        <v>0</v>
      </c>
      <c r="G97">
        <v>0</v>
      </c>
    </row>
    <row r="98" spans="1:7" x14ac:dyDescent="0.25">
      <c r="A98" s="1">
        <v>126</v>
      </c>
      <c r="B98" s="2" t="s">
        <v>3</v>
      </c>
      <c r="C98" s="3">
        <v>17</v>
      </c>
      <c r="D98" s="3">
        <v>11</v>
      </c>
      <c r="E98" s="6">
        <v>0</v>
      </c>
      <c r="F98">
        <v>1</v>
      </c>
      <c r="G98">
        <v>0</v>
      </c>
    </row>
    <row r="99" spans="1:7" x14ac:dyDescent="0.25">
      <c r="A99" s="1">
        <v>127</v>
      </c>
      <c r="B99" s="2" t="s">
        <v>3</v>
      </c>
      <c r="C99" s="3">
        <v>20</v>
      </c>
      <c r="D99" s="3">
        <v>10</v>
      </c>
      <c r="E99" s="6">
        <v>0</v>
      </c>
      <c r="F99">
        <v>1</v>
      </c>
      <c r="G99">
        <v>0</v>
      </c>
    </row>
    <row r="100" spans="1:7" x14ac:dyDescent="0.25">
      <c r="A100" s="1">
        <v>128</v>
      </c>
      <c r="B100" s="2" t="s">
        <v>3</v>
      </c>
      <c r="C100" s="3">
        <v>21</v>
      </c>
      <c r="D100" s="3">
        <v>11</v>
      </c>
      <c r="E100" s="6">
        <v>0</v>
      </c>
      <c r="F100">
        <v>1</v>
      </c>
      <c r="G100">
        <v>0</v>
      </c>
    </row>
    <row r="101" spans="1:7" x14ac:dyDescent="0.25">
      <c r="A101" s="1">
        <v>131</v>
      </c>
      <c r="B101" s="2" t="s">
        <v>2</v>
      </c>
      <c r="C101" s="3">
        <v>28</v>
      </c>
      <c r="D101" s="3">
        <v>3</v>
      </c>
      <c r="E101" s="6">
        <v>1</v>
      </c>
      <c r="F101">
        <v>0</v>
      </c>
      <c r="G101">
        <v>0</v>
      </c>
    </row>
    <row r="102" spans="1:7" x14ac:dyDescent="0.25">
      <c r="A102" s="1">
        <v>133</v>
      </c>
      <c r="B102" s="2" t="s">
        <v>3</v>
      </c>
      <c r="C102" s="3">
        <v>31</v>
      </c>
      <c r="D102" s="3">
        <v>16</v>
      </c>
      <c r="E102" s="6">
        <v>0</v>
      </c>
      <c r="F102">
        <v>1</v>
      </c>
      <c r="G102">
        <v>0</v>
      </c>
    </row>
    <row r="103" spans="1:7" x14ac:dyDescent="0.25">
      <c r="A103" s="1">
        <v>136</v>
      </c>
      <c r="B103" s="2" t="s">
        <v>2</v>
      </c>
      <c r="C103" s="3">
        <v>18</v>
      </c>
      <c r="D103" s="3">
        <v>2</v>
      </c>
      <c r="E103" s="6">
        <v>1</v>
      </c>
      <c r="F103">
        <v>0</v>
      </c>
      <c r="G103">
        <v>0</v>
      </c>
    </row>
    <row r="104" spans="1:7" x14ac:dyDescent="0.25">
      <c r="A104" s="1">
        <v>137</v>
      </c>
      <c r="B104" s="2" t="s">
        <v>2</v>
      </c>
      <c r="C104" s="3">
        <v>27</v>
      </c>
      <c r="D104" s="3">
        <v>4</v>
      </c>
      <c r="E104" s="6">
        <v>1</v>
      </c>
      <c r="F104">
        <v>0</v>
      </c>
      <c r="G104">
        <v>0</v>
      </c>
    </row>
    <row r="105" spans="1:7" x14ac:dyDescent="0.25">
      <c r="A105" s="1">
        <v>139</v>
      </c>
      <c r="B105" s="2" t="s">
        <v>3</v>
      </c>
      <c r="C105" s="3">
        <v>23</v>
      </c>
      <c r="D105" s="3">
        <v>12</v>
      </c>
      <c r="E105" s="6">
        <v>0</v>
      </c>
      <c r="F105">
        <v>1</v>
      </c>
      <c r="G105">
        <v>0</v>
      </c>
    </row>
    <row r="106" spans="1:7" x14ac:dyDescent="0.25">
      <c r="A106" s="1">
        <v>140</v>
      </c>
      <c r="B106" s="2" t="s">
        <v>3</v>
      </c>
      <c r="C106" s="3">
        <v>32</v>
      </c>
      <c r="D106" s="3">
        <v>15</v>
      </c>
      <c r="E106" s="6">
        <v>0</v>
      </c>
      <c r="F106">
        <v>1</v>
      </c>
      <c r="G106">
        <v>0</v>
      </c>
    </row>
    <row r="107" spans="1:7" x14ac:dyDescent="0.25">
      <c r="A107" s="1">
        <v>141</v>
      </c>
      <c r="B107" s="2" t="s">
        <v>3</v>
      </c>
      <c r="C107" s="3">
        <v>25</v>
      </c>
      <c r="D107" s="3">
        <v>13</v>
      </c>
      <c r="E107" s="6">
        <v>0</v>
      </c>
      <c r="F107">
        <v>1</v>
      </c>
      <c r="G107">
        <v>0</v>
      </c>
    </row>
    <row r="108" spans="1:7" x14ac:dyDescent="0.25">
      <c r="A108" s="1">
        <v>142</v>
      </c>
      <c r="B108" s="2" t="s">
        <v>3</v>
      </c>
      <c r="C108" s="3">
        <v>28</v>
      </c>
      <c r="D108" s="3">
        <v>10</v>
      </c>
      <c r="E108" s="6">
        <v>0</v>
      </c>
      <c r="F108">
        <v>1</v>
      </c>
      <c r="G108">
        <v>0</v>
      </c>
    </row>
    <row r="109" spans="1:7" x14ac:dyDescent="0.25">
      <c r="A109" s="1">
        <v>143</v>
      </c>
      <c r="B109" s="2" t="s">
        <v>2</v>
      </c>
      <c r="C109" s="3">
        <v>19</v>
      </c>
      <c r="D109" s="3">
        <v>2</v>
      </c>
      <c r="E109" s="6">
        <v>1</v>
      </c>
      <c r="F109">
        <v>0</v>
      </c>
      <c r="G109">
        <v>0</v>
      </c>
    </row>
    <row r="110" spans="1:7" x14ac:dyDescent="0.25">
      <c r="A110" s="1">
        <v>144</v>
      </c>
      <c r="B110" s="2" t="s">
        <v>3</v>
      </c>
      <c r="C110" s="3">
        <v>14</v>
      </c>
      <c r="D110" s="3">
        <v>18</v>
      </c>
      <c r="E110" s="6">
        <v>0</v>
      </c>
      <c r="F110">
        <v>1</v>
      </c>
      <c r="G110">
        <v>0</v>
      </c>
    </row>
    <row r="111" spans="1:7" x14ac:dyDescent="0.25">
      <c r="A111" s="1">
        <v>145</v>
      </c>
      <c r="B111" s="2" t="s">
        <v>3</v>
      </c>
      <c r="C111" s="3">
        <v>19</v>
      </c>
      <c r="D111" s="3">
        <v>12</v>
      </c>
      <c r="E111" s="6">
        <v>0</v>
      </c>
      <c r="F111">
        <v>1</v>
      </c>
      <c r="G111">
        <v>0</v>
      </c>
    </row>
    <row r="112" spans="1:7" x14ac:dyDescent="0.25">
      <c r="A112" s="1">
        <v>146</v>
      </c>
      <c r="B112" s="2" t="s">
        <v>3</v>
      </c>
      <c r="C112" s="3">
        <v>18</v>
      </c>
      <c r="D112" s="3">
        <v>7</v>
      </c>
      <c r="E112" s="6">
        <v>0</v>
      </c>
      <c r="F112">
        <v>1</v>
      </c>
      <c r="G112">
        <v>0</v>
      </c>
    </row>
    <row r="113" spans="1:7" x14ac:dyDescent="0.25">
      <c r="A113" s="1">
        <v>147</v>
      </c>
      <c r="B113" s="2" t="s">
        <v>3</v>
      </c>
      <c r="C113" s="3">
        <v>16</v>
      </c>
      <c r="D113" s="3">
        <v>14</v>
      </c>
      <c r="E113" s="6">
        <v>0</v>
      </c>
      <c r="F113">
        <v>1</v>
      </c>
      <c r="G113">
        <v>0</v>
      </c>
    </row>
    <row r="114" spans="1:7" x14ac:dyDescent="0.25">
      <c r="A114" s="1">
        <v>148</v>
      </c>
      <c r="B114" s="2" t="s">
        <v>3</v>
      </c>
      <c r="C114" s="3">
        <v>42</v>
      </c>
      <c r="D114" s="3">
        <v>8</v>
      </c>
      <c r="E114" s="6">
        <v>0</v>
      </c>
      <c r="F114">
        <v>1</v>
      </c>
      <c r="G114">
        <v>0</v>
      </c>
    </row>
    <row r="115" spans="1:7" x14ac:dyDescent="0.25">
      <c r="A115" s="1">
        <v>149</v>
      </c>
      <c r="B115" s="2" t="s">
        <v>3</v>
      </c>
      <c r="C115" s="3">
        <v>12</v>
      </c>
      <c r="D115" s="3">
        <v>12</v>
      </c>
      <c r="E115" s="6">
        <v>0</v>
      </c>
      <c r="F115">
        <v>1</v>
      </c>
      <c r="G115">
        <v>0</v>
      </c>
    </row>
    <row r="116" spans="1:7" x14ac:dyDescent="0.25">
      <c r="A116" s="1">
        <v>150</v>
      </c>
      <c r="B116" s="2" t="s">
        <v>2</v>
      </c>
      <c r="C116" s="3">
        <v>14</v>
      </c>
      <c r="D116" s="3">
        <v>0</v>
      </c>
      <c r="E116" s="6">
        <v>1</v>
      </c>
      <c r="F116">
        <v>0</v>
      </c>
      <c r="G116">
        <v>0</v>
      </c>
    </row>
    <row r="117" spans="1:7" x14ac:dyDescent="0.25">
      <c r="A117" s="1">
        <v>151</v>
      </c>
      <c r="B117" s="2" t="s">
        <v>3</v>
      </c>
      <c r="C117" s="3">
        <v>26</v>
      </c>
      <c r="D117" s="3">
        <v>13</v>
      </c>
      <c r="E117" s="6">
        <v>0</v>
      </c>
      <c r="F117">
        <v>1</v>
      </c>
      <c r="G117">
        <v>0</v>
      </c>
    </row>
    <row r="118" spans="1:7" x14ac:dyDescent="0.25">
      <c r="A118" s="1">
        <v>152</v>
      </c>
      <c r="B118" s="2" t="s">
        <v>2</v>
      </c>
      <c r="C118" s="3">
        <v>15</v>
      </c>
      <c r="D118" s="3">
        <v>5</v>
      </c>
      <c r="E118" s="6">
        <v>1</v>
      </c>
      <c r="F118">
        <v>0</v>
      </c>
      <c r="G118">
        <v>0</v>
      </c>
    </row>
    <row r="119" spans="1:7" x14ac:dyDescent="0.25">
      <c r="A119" s="1">
        <v>153</v>
      </c>
      <c r="B119" s="2" t="s">
        <v>3</v>
      </c>
      <c r="C119" s="3">
        <v>14</v>
      </c>
      <c r="D119" s="3">
        <v>8</v>
      </c>
      <c r="E119" s="6">
        <v>0</v>
      </c>
      <c r="F119">
        <v>1</v>
      </c>
      <c r="G119">
        <v>0</v>
      </c>
    </row>
    <row r="120" spans="1:7" x14ac:dyDescent="0.25">
      <c r="A120" s="1">
        <v>154</v>
      </c>
      <c r="B120" s="2" t="s">
        <v>2</v>
      </c>
      <c r="C120" s="3">
        <v>20</v>
      </c>
      <c r="D120" s="3">
        <v>5</v>
      </c>
      <c r="E120" s="6">
        <v>1</v>
      </c>
      <c r="F120">
        <v>0</v>
      </c>
      <c r="G120">
        <v>0</v>
      </c>
    </row>
    <row r="121" spans="1:7" x14ac:dyDescent="0.25">
      <c r="A121" s="1">
        <v>155</v>
      </c>
      <c r="B121" s="2" t="s">
        <v>3</v>
      </c>
      <c r="C121" s="3">
        <v>30</v>
      </c>
      <c r="D121" s="3">
        <v>18</v>
      </c>
      <c r="E121" s="6">
        <v>0</v>
      </c>
      <c r="F121">
        <v>1</v>
      </c>
      <c r="G121">
        <v>0</v>
      </c>
    </row>
    <row r="122" spans="1:7" x14ac:dyDescent="0.25">
      <c r="A122" s="1">
        <v>156</v>
      </c>
      <c r="B122" s="2" t="s">
        <v>2</v>
      </c>
      <c r="C122" s="3">
        <v>16</v>
      </c>
      <c r="D122" s="3">
        <v>0</v>
      </c>
      <c r="E122" s="6">
        <v>1</v>
      </c>
      <c r="F122">
        <v>0</v>
      </c>
      <c r="G122">
        <v>0</v>
      </c>
    </row>
    <row r="123" spans="1:7" x14ac:dyDescent="0.25">
      <c r="A123" s="1">
        <v>157</v>
      </c>
      <c r="B123" s="2" t="s">
        <v>2</v>
      </c>
      <c r="C123" s="3">
        <v>21</v>
      </c>
      <c r="D123" s="3">
        <v>2</v>
      </c>
      <c r="E123" s="6">
        <v>1</v>
      </c>
      <c r="F123">
        <v>0</v>
      </c>
      <c r="G123">
        <v>0</v>
      </c>
    </row>
    <row r="124" spans="1:7" x14ac:dyDescent="0.25">
      <c r="A124" s="1">
        <v>159</v>
      </c>
      <c r="B124" s="2" t="s">
        <v>3</v>
      </c>
      <c r="C124" s="3">
        <v>30</v>
      </c>
      <c r="D124" s="3">
        <v>17</v>
      </c>
      <c r="E124" s="6">
        <v>0</v>
      </c>
      <c r="F124">
        <v>1</v>
      </c>
      <c r="G124">
        <v>0</v>
      </c>
    </row>
    <row r="125" spans="1:7" x14ac:dyDescent="0.25">
      <c r="A125" s="1">
        <v>160</v>
      </c>
      <c r="B125" s="2" t="s">
        <v>3</v>
      </c>
      <c r="C125" s="3">
        <v>31</v>
      </c>
      <c r="D125" s="3">
        <v>16</v>
      </c>
      <c r="E125" s="6">
        <v>0</v>
      </c>
      <c r="F125">
        <v>1</v>
      </c>
      <c r="G125">
        <v>0</v>
      </c>
    </row>
    <row r="126" spans="1:7" x14ac:dyDescent="0.25">
      <c r="A126" s="1">
        <v>161</v>
      </c>
      <c r="B126" s="2" t="s">
        <v>3</v>
      </c>
      <c r="C126" s="3">
        <v>28</v>
      </c>
      <c r="D126" s="3">
        <v>6</v>
      </c>
      <c r="E126" s="6">
        <v>0</v>
      </c>
      <c r="F126">
        <v>1</v>
      </c>
      <c r="G126">
        <v>0</v>
      </c>
    </row>
    <row r="127" spans="1:7" x14ac:dyDescent="0.25">
      <c r="A127" s="1">
        <v>162</v>
      </c>
      <c r="B127" s="2" t="s">
        <v>3</v>
      </c>
      <c r="C127" s="3">
        <v>19</v>
      </c>
      <c r="D127" s="3">
        <v>9</v>
      </c>
      <c r="E127" s="6">
        <v>0</v>
      </c>
      <c r="F127">
        <v>1</v>
      </c>
      <c r="G127">
        <v>0</v>
      </c>
    </row>
    <row r="128" spans="1:7" x14ac:dyDescent="0.25">
      <c r="A128" s="1">
        <v>164</v>
      </c>
      <c r="B128" s="2" t="s">
        <v>2</v>
      </c>
      <c r="C128" s="3">
        <v>17</v>
      </c>
      <c r="D128" s="3">
        <v>0</v>
      </c>
      <c r="E128" s="6">
        <v>1</v>
      </c>
      <c r="F128">
        <v>0</v>
      </c>
      <c r="G128">
        <v>0</v>
      </c>
    </row>
    <row r="129" spans="1:7" x14ac:dyDescent="0.25">
      <c r="A129" s="1">
        <v>168</v>
      </c>
      <c r="B129" s="2" t="s">
        <v>3</v>
      </c>
      <c r="C129" s="3">
        <v>21</v>
      </c>
      <c r="D129" s="3">
        <v>12</v>
      </c>
      <c r="E129" s="6">
        <v>0</v>
      </c>
      <c r="F129">
        <v>1</v>
      </c>
      <c r="G129">
        <v>0</v>
      </c>
    </row>
    <row r="130" spans="1:7" x14ac:dyDescent="0.25">
      <c r="A130" s="1">
        <v>169</v>
      </c>
      <c r="B130" s="2" t="s">
        <v>3</v>
      </c>
      <c r="C130" s="3">
        <v>11</v>
      </c>
      <c r="D130" s="3">
        <v>13</v>
      </c>
      <c r="E130" s="6">
        <v>0</v>
      </c>
      <c r="F130">
        <v>1</v>
      </c>
      <c r="G130">
        <v>0</v>
      </c>
    </row>
    <row r="131" spans="1:7" x14ac:dyDescent="0.25">
      <c r="A131" s="1">
        <v>171</v>
      </c>
      <c r="B131" s="2" t="s">
        <v>3</v>
      </c>
      <c r="C131" s="3">
        <v>13</v>
      </c>
      <c r="D131" s="3">
        <v>15</v>
      </c>
      <c r="E131" s="6">
        <v>0</v>
      </c>
      <c r="F131">
        <v>1</v>
      </c>
      <c r="G131">
        <v>0</v>
      </c>
    </row>
    <row r="132" spans="1:7" x14ac:dyDescent="0.25">
      <c r="A132" s="1">
        <v>172</v>
      </c>
      <c r="B132" s="2" t="s">
        <v>2</v>
      </c>
      <c r="C132" s="3">
        <v>19</v>
      </c>
      <c r="D132" s="3">
        <v>0</v>
      </c>
      <c r="E132" s="6">
        <v>1</v>
      </c>
      <c r="F132">
        <v>0</v>
      </c>
      <c r="G132">
        <v>0</v>
      </c>
    </row>
    <row r="133" spans="1:7" x14ac:dyDescent="0.25">
      <c r="A133" s="1">
        <v>173</v>
      </c>
      <c r="B133" s="2" t="s">
        <v>3</v>
      </c>
      <c r="C133" s="3">
        <v>35</v>
      </c>
      <c r="D133" s="3">
        <v>10</v>
      </c>
      <c r="E133" s="6">
        <v>0</v>
      </c>
      <c r="F133">
        <v>1</v>
      </c>
      <c r="G133">
        <v>0</v>
      </c>
    </row>
    <row r="134" spans="1:7" x14ac:dyDescent="0.25">
      <c r="A134" s="1">
        <v>174</v>
      </c>
      <c r="B134" s="2" t="s">
        <v>3</v>
      </c>
      <c r="C134" s="3">
        <v>28</v>
      </c>
      <c r="D134" s="3">
        <v>15</v>
      </c>
      <c r="E134" s="6">
        <v>0</v>
      </c>
      <c r="F134">
        <v>1</v>
      </c>
      <c r="G134">
        <v>0</v>
      </c>
    </row>
    <row r="135" spans="1:7" x14ac:dyDescent="0.25">
      <c r="A135" s="1">
        <v>175</v>
      </c>
      <c r="B135" s="2" t="s">
        <v>2</v>
      </c>
      <c r="C135" s="3">
        <v>13</v>
      </c>
      <c r="D135" s="3">
        <v>4</v>
      </c>
      <c r="E135" s="6">
        <v>1</v>
      </c>
      <c r="F135">
        <v>0</v>
      </c>
      <c r="G135">
        <v>0</v>
      </c>
    </row>
    <row r="136" spans="1:7" x14ac:dyDescent="0.25">
      <c r="A136" s="1">
        <v>176</v>
      </c>
      <c r="B136" s="2" t="s">
        <v>3</v>
      </c>
      <c r="C136" s="3">
        <v>32</v>
      </c>
      <c r="D136" s="3">
        <v>15</v>
      </c>
      <c r="E136" s="6">
        <v>0</v>
      </c>
      <c r="F136">
        <v>1</v>
      </c>
      <c r="G136">
        <v>0</v>
      </c>
    </row>
    <row r="137" spans="1:7" x14ac:dyDescent="0.25">
      <c r="A137" s="1">
        <v>178</v>
      </c>
      <c r="B137" s="2" t="s">
        <v>3</v>
      </c>
      <c r="C137" s="3">
        <v>33</v>
      </c>
      <c r="D137" s="3">
        <v>10</v>
      </c>
      <c r="E137" s="6">
        <v>0</v>
      </c>
      <c r="F137">
        <v>1</v>
      </c>
      <c r="G137">
        <v>0</v>
      </c>
    </row>
    <row r="138" spans="1:7" x14ac:dyDescent="0.25">
      <c r="A138" s="1">
        <v>179</v>
      </c>
      <c r="B138" s="2" t="s">
        <v>3</v>
      </c>
      <c r="C138" s="3">
        <v>37</v>
      </c>
      <c r="D138" s="3">
        <v>8</v>
      </c>
      <c r="E138" s="6">
        <v>0</v>
      </c>
      <c r="F138">
        <v>1</v>
      </c>
      <c r="G138">
        <v>0</v>
      </c>
    </row>
    <row r="139" spans="1:7" x14ac:dyDescent="0.25">
      <c r="A139" s="1">
        <v>180</v>
      </c>
      <c r="B139" s="2" t="s">
        <v>3</v>
      </c>
      <c r="C139" s="3">
        <v>28</v>
      </c>
      <c r="D139" s="3">
        <v>9</v>
      </c>
      <c r="E139" s="6">
        <v>0</v>
      </c>
      <c r="F139">
        <v>1</v>
      </c>
      <c r="G139">
        <v>0</v>
      </c>
    </row>
    <row r="140" spans="1:7" x14ac:dyDescent="0.25">
      <c r="A140" s="1">
        <v>181</v>
      </c>
      <c r="B140" s="2" t="s">
        <v>2</v>
      </c>
      <c r="C140" s="3">
        <v>24</v>
      </c>
      <c r="D140" s="3">
        <v>5</v>
      </c>
      <c r="E140" s="6">
        <v>1</v>
      </c>
      <c r="F140">
        <v>0</v>
      </c>
      <c r="G140">
        <v>0</v>
      </c>
    </row>
    <row r="141" spans="1:7" x14ac:dyDescent="0.25">
      <c r="A141" s="1">
        <v>182</v>
      </c>
      <c r="B141" s="2" t="s">
        <v>2</v>
      </c>
      <c r="C141" s="3">
        <v>10</v>
      </c>
      <c r="D141" s="3">
        <v>3</v>
      </c>
      <c r="E141" s="6">
        <v>1</v>
      </c>
      <c r="F141">
        <v>0</v>
      </c>
      <c r="G141">
        <v>0</v>
      </c>
    </row>
    <row r="142" spans="1:7" x14ac:dyDescent="0.25">
      <c r="A142" s="1">
        <v>183</v>
      </c>
      <c r="B142" s="2" t="s">
        <v>3</v>
      </c>
      <c r="C142" s="3">
        <v>36</v>
      </c>
      <c r="D142" s="3">
        <v>10</v>
      </c>
      <c r="E142" s="6">
        <v>0</v>
      </c>
      <c r="F142">
        <v>1</v>
      </c>
      <c r="G142">
        <v>0</v>
      </c>
    </row>
    <row r="143" spans="1:7" x14ac:dyDescent="0.25">
      <c r="A143" s="1">
        <v>184</v>
      </c>
      <c r="B143" s="2" t="s">
        <v>3</v>
      </c>
      <c r="C143" s="3">
        <v>37</v>
      </c>
      <c r="D143" s="3">
        <v>9</v>
      </c>
      <c r="E143" s="6">
        <v>0</v>
      </c>
      <c r="F143">
        <v>1</v>
      </c>
      <c r="G143">
        <v>0</v>
      </c>
    </row>
    <row r="144" spans="1:7" x14ac:dyDescent="0.25">
      <c r="A144" s="1">
        <v>185</v>
      </c>
      <c r="B144" s="2" t="s">
        <v>3</v>
      </c>
      <c r="C144" s="3">
        <v>25</v>
      </c>
      <c r="D144" s="3">
        <v>13</v>
      </c>
      <c r="E144" s="6">
        <v>0</v>
      </c>
      <c r="F144">
        <v>1</v>
      </c>
      <c r="G144">
        <v>0</v>
      </c>
    </row>
    <row r="145" spans="1:7" x14ac:dyDescent="0.25">
      <c r="A145" s="1">
        <v>186</v>
      </c>
      <c r="B145" s="2" t="s">
        <v>3</v>
      </c>
      <c r="C145" s="3">
        <v>11</v>
      </c>
      <c r="D145" s="3">
        <v>12</v>
      </c>
      <c r="E145" s="6">
        <v>0</v>
      </c>
      <c r="F145">
        <v>1</v>
      </c>
      <c r="G145">
        <v>0</v>
      </c>
    </row>
    <row r="146" spans="1:7" x14ac:dyDescent="0.25">
      <c r="A146" s="1">
        <v>187</v>
      </c>
      <c r="B146" s="2" t="s">
        <v>2</v>
      </c>
      <c r="C146" s="3">
        <v>11</v>
      </c>
      <c r="D146" s="3">
        <v>4</v>
      </c>
      <c r="E146" s="6">
        <v>1</v>
      </c>
      <c r="F146">
        <v>0</v>
      </c>
      <c r="G146">
        <v>0</v>
      </c>
    </row>
    <row r="147" spans="1:7" x14ac:dyDescent="0.25">
      <c r="A147" s="1">
        <v>188</v>
      </c>
      <c r="B147" s="2" t="s">
        <v>3</v>
      </c>
      <c r="C147" s="3">
        <v>11</v>
      </c>
      <c r="D147" s="3">
        <v>18</v>
      </c>
      <c r="E147" s="6">
        <v>0</v>
      </c>
      <c r="F147">
        <v>1</v>
      </c>
      <c r="G147">
        <v>0</v>
      </c>
    </row>
    <row r="148" spans="1:7" x14ac:dyDescent="0.25">
      <c r="A148" s="1">
        <v>189</v>
      </c>
      <c r="B148" s="2" t="s">
        <v>2</v>
      </c>
      <c r="C148" s="3">
        <v>10</v>
      </c>
      <c r="D148" s="3">
        <v>3</v>
      </c>
      <c r="E148" s="6">
        <v>1</v>
      </c>
      <c r="F148">
        <v>0</v>
      </c>
      <c r="G148">
        <v>0</v>
      </c>
    </row>
    <row r="149" spans="1:7" x14ac:dyDescent="0.25">
      <c r="A149" s="1">
        <v>190</v>
      </c>
      <c r="B149" s="2" t="s">
        <v>2</v>
      </c>
      <c r="C149" s="3">
        <v>29</v>
      </c>
      <c r="D149" s="3">
        <v>2</v>
      </c>
      <c r="E149" s="6">
        <v>1</v>
      </c>
      <c r="F149">
        <v>0</v>
      </c>
      <c r="G149">
        <v>0</v>
      </c>
    </row>
    <row r="150" spans="1:7" x14ac:dyDescent="0.25">
      <c r="A150" s="1">
        <v>191</v>
      </c>
      <c r="B150" s="2" t="s">
        <v>3</v>
      </c>
      <c r="C150" s="3">
        <v>14</v>
      </c>
      <c r="D150" s="3">
        <v>7</v>
      </c>
      <c r="E150" s="6">
        <v>0</v>
      </c>
      <c r="F150">
        <v>1</v>
      </c>
      <c r="G150">
        <v>0</v>
      </c>
    </row>
    <row r="151" spans="1:7" x14ac:dyDescent="0.25">
      <c r="A151" s="1">
        <v>192</v>
      </c>
      <c r="B151" s="2" t="s">
        <v>3</v>
      </c>
      <c r="C151" s="3">
        <v>21</v>
      </c>
      <c r="D151" s="3">
        <v>18</v>
      </c>
      <c r="E151" s="6">
        <v>0</v>
      </c>
      <c r="F151">
        <v>1</v>
      </c>
      <c r="G151">
        <v>0</v>
      </c>
    </row>
    <row r="152" spans="1:7" x14ac:dyDescent="0.25">
      <c r="A152" s="1">
        <v>193</v>
      </c>
      <c r="B152" s="2" t="s">
        <v>2</v>
      </c>
      <c r="C152" s="3">
        <v>28</v>
      </c>
      <c r="D152" s="3">
        <v>3</v>
      </c>
      <c r="E152" s="6">
        <v>1</v>
      </c>
      <c r="F152">
        <v>0</v>
      </c>
      <c r="G152">
        <v>0</v>
      </c>
    </row>
    <row r="153" spans="1:7" x14ac:dyDescent="0.25">
      <c r="A153" s="1">
        <v>194</v>
      </c>
      <c r="B153" s="2" t="s">
        <v>3</v>
      </c>
      <c r="C153" s="3">
        <v>42</v>
      </c>
      <c r="D153" s="3">
        <v>15</v>
      </c>
      <c r="E153" s="6">
        <v>0</v>
      </c>
      <c r="F153">
        <v>1</v>
      </c>
      <c r="G153">
        <v>0</v>
      </c>
    </row>
    <row r="154" spans="1:7" x14ac:dyDescent="0.25">
      <c r="A154" s="1">
        <v>195</v>
      </c>
      <c r="B154" s="2" t="s">
        <v>3</v>
      </c>
      <c r="C154" s="3">
        <v>30</v>
      </c>
      <c r="D154" s="3">
        <v>9</v>
      </c>
      <c r="E154" s="6">
        <v>0</v>
      </c>
      <c r="F154">
        <v>1</v>
      </c>
      <c r="G154">
        <v>0</v>
      </c>
    </row>
    <row r="155" spans="1:7" x14ac:dyDescent="0.25">
      <c r="A155" s="1">
        <v>197</v>
      </c>
      <c r="B155" s="2" t="s">
        <v>2</v>
      </c>
      <c r="C155" s="3">
        <v>22</v>
      </c>
      <c r="D155" s="3">
        <v>2</v>
      </c>
      <c r="E155" s="6">
        <v>1</v>
      </c>
      <c r="F155">
        <v>0</v>
      </c>
      <c r="G155">
        <v>0</v>
      </c>
    </row>
    <row r="156" spans="1:7" x14ac:dyDescent="0.25">
      <c r="A156" s="1">
        <v>198</v>
      </c>
      <c r="B156" s="2" t="s">
        <v>2</v>
      </c>
      <c r="C156" s="3">
        <v>23</v>
      </c>
      <c r="D156" s="3">
        <v>2</v>
      </c>
      <c r="E156" s="6">
        <v>1</v>
      </c>
      <c r="F156">
        <v>0</v>
      </c>
      <c r="G156">
        <v>0</v>
      </c>
    </row>
    <row r="157" spans="1:7" x14ac:dyDescent="0.25">
      <c r="A157" s="1">
        <v>199</v>
      </c>
      <c r="B157" s="2" t="s">
        <v>3</v>
      </c>
      <c r="C157" s="3">
        <v>27</v>
      </c>
      <c r="D157" s="3">
        <v>19</v>
      </c>
      <c r="E157" s="6">
        <v>0</v>
      </c>
      <c r="F157">
        <v>1</v>
      </c>
      <c r="G157">
        <v>0</v>
      </c>
    </row>
    <row r="158" spans="1:7" x14ac:dyDescent="0.25">
      <c r="A158" s="1">
        <v>200</v>
      </c>
      <c r="B158" s="2" t="s">
        <v>3</v>
      </c>
      <c r="C158" s="3">
        <v>13</v>
      </c>
      <c r="D158" s="3">
        <v>19</v>
      </c>
      <c r="E158" s="6">
        <v>0</v>
      </c>
      <c r="F158">
        <v>1</v>
      </c>
      <c r="G158">
        <v>0</v>
      </c>
    </row>
    <row r="159" spans="1:7" x14ac:dyDescent="0.25">
      <c r="A159" s="1">
        <v>201</v>
      </c>
      <c r="B159" s="2" t="s">
        <v>3</v>
      </c>
      <c r="C159" s="3">
        <v>28</v>
      </c>
      <c r="D159" s="3">
        <v>17</v>
      </c>
      <c r="E159" s="6">
        <v>0</v>
      </c>
      <c r="F159">
        <v>1</v>
      </c>
      <c r="G159">
        <v>0</v>
      </c>
    </row>
    <row r="160" spans="1:7" x14ac:dyDescent="0.25">
      <c r="A160" s="1">
        <v>202</v>
      </c>
      <c r="B160" s="2" t="s">
        <v>2</v>
      </c>
      <c r="C160" s="3">
        <v>12</v>
      </c>
      <c r="D160" s="3">
        <v>5</v>
      </c>
      <c r="E160" s="6">
        <v>1</v>
      </c>
      <c r="F160">
        <v>0</v>
      </c>
      <c r="G160">
        <v>0</v>
      </c>
    </row>
    <row r="161" spans="1:7" x14ac:dyDescent="0.25">
      <c r="A161" s="1">
        <v>204</v>
      </c>
      <c r="B161" s="2" t="s">
        <v>3</v>
      </c>
      <c r="C161" s="3">
        <v>30</v>
      </c>
      <c r="D161" s="3">
        <v>12</v>
      </c>
      <c r="E161" s="6">
        <v>0</v>
      </c>
      <c r="F161">
        <v>1</v>
      </c>
      <c r="G161">
        <v>0</v>
      </c>
    </row>
    <row r="162" spans="1:7" x14ac:dyDescent="0.25">
      <c r="A162" s="1">
        <v>205</v>
      </c>
      <c r="B162" s="2" t="s">
        <v>2</v>
      </c>
      <c r="C162" s="3">
        <v>17</v>
      </c>
      <c r="D162" s="3">
        <v>1</v>
      </c>
      <c r="E162" s="6">
        <v>1</v>
      </c>
      <c r="F162">
        <v>0</v>
      </c>
      <c r="G162">
        <v>0</v>
      </c>
    </row>
    <row r="163" spans="1:7" x14ac:dyDescent="0.25">
      <c r="A163" s="1">
        <v>206</v>
      </c>
      <c r="B163" s="2" t="s">
        <v>2</v>
      </c>
      <c r="C163" s="3">
        <v>20</v>
      </c>
      <c r="D163" s="3">
        <v>0</v>
      </c>
      <c r="E163" s="6">
        <v>1</v>
      </c>
      <c r="F163">
        <v>0</v>
      </c>
      <c r="G163">
        <v>0</v>
      </c>
    </row>
    <row r="164" spans="1:7" x14ac:dyDescent="0.25">
      <c r="A164" s="1">
        <v>207</v>
      </c>
      <c r="B164" s="2" t="s">
        <v>2</v>
      </c>
      <c r="C164" s="3">
        <v>20</v>
      </c>
      <c r="D164" s="3">
        <v>1</v>
      </c>
      <c r="E164" s="6">
        <v>1</v>
      </c>
      <c r="F164">
        <v>0</v>
      </c>
      <c r="G164">
        <v>0</v>
      </c>
    </row>
    <row r="165" spans="1:7" x14ac:dyDescent="0.25">
      <c r="A165" s="1">
        <v>208</v>
      </c>
      <c r="B165" s="2" t="s">
        <v>2</v>
      </c>
      <c r="C165" s="3">
        <v>26</v>
      </c>
      <c r="D165" s="3">
        <v>3</v>
      </c>
      <c r="E165" s="6">
        <v>1</v>
      </c>
      <c r="F165">
        <v>0</v>
      </c>
      <c r="G165">
        <v>0</v>
      </c>
    </row>
    <row r="166" spans="1:7" x14ac:dyDescent="0.25">
      <c r="A166" s="1">
        <v>209</v>
      </c>
      <c r="B166" s="2" t="s">
        <v>2</v>
      </c>
      <c r="C166" s="3">
        <v>18</v>
      </c>
      <c r="D166" s="3">
        <v>2</v>
      </c>
      <c r="E166" s="6">
        <v>1</v>
      </c>
      <c r="F166">
        <v>0</v>
      </c>
      <c r="G166">
        <v>0</v>
      </c>
    </row>
    <row r="167" spans="1:7" x14ac:dyDescent="0.25">
      <c r="A167" s="1">
        <v>210</v>
      </c>
      <c r="B167" s="2" t="s">
        <v>3</v>
      </c>
      <c r="C167" s="3">
        <v>13</v>
      </c>
      <c r="D167" s="3">
        <v>18</v>
      </c>
      <c r="E167" s="6">
        <v>0</v>
      </c>
      <c r="F167">
        <v>1</v>
      </c>
      <c r="G167">
        <v>0</v>
      </c>
    </row>
    <row r="168" spans="1:7" x14ac:dyDescent="0.25">
      <c r="A168" s="1">
        <v>211</v>
      </c>
      <c r="B168" s="2" t="s">
        <v>3</v>
      </c>
      <c r="C168" s="3">
        <v>25</v>
      </c>
      <c r="D168" s="3">
        <v>13</v>
      </c>
      <c r="E168" s="6">
        <v>0</v>
      </c>
      <c r="F168">
        <v>1</v>
      </c>
      <c r="G168">
        <v>0</v>
      </c>
    </row>
    <row r="169" spans="1:7" x14ac:dyDescent="0.25">
      <c r="A169" s="1">
        <v>212</v>
      </c>
      <c r="B169" s="2" t="s">
        <v>3</v>
      </c>
      <c r="C169" s="3">
        <v>22</v>
      </c>
      <c r="D169" s="3">
        <v>15</v>
      </c>
      <c r="E169" s="6">
        <v>0</v>
      </c>
      <c r="F169">
        <v>1</v>
      </c>
      <c r="G169">
        <v>0</v>
      </c>
    </row>
    <row r="170" spans="1:7" x14ac:dyDescent="0.25">
      <c r="A170" s="1">
        <v>213</v>
      </c>
      <c r="B170" s="2" t="s">
        <v>3</v>
      </c>
      <c r="C170" s="3">
        <v>27</v>
      </c>
      <c r="D170" s="3">
        <v>13</v>
      </c>
      <c r="E170" s="6">
        <v>0</v>
      </c>
      <c r="F170">
        <v>1</v>
      </c>
      <c r="G170">
        <v>0</v>
      </c>
    </row>
    <row r="171" spans="1:7" x14ac:dyDescent="0.25">
      <c r="A171" s="1">
        <v>214</v>
      </c>
      <c r="B171" s="2" t="s">
        <v>3</v>
      </c>
      <c r="C171" s="3">
        <v>21</v>
      </c>
      <c r="D171" s="3">
        <v>18</v>
      </c>
      <c r="E171" s="6">
        <v>0</v>
      </c>
      <c r="F171">
        <v>1</v>
      </c>
      <c r="G171">
        <v>0</v>
      </c>
    </row>
    <row r="172" spans="1:7" x14ac:dyDescent="0.25">
      <c r="A172" s="1">
        <v>215</v>
      </c>
      <c r="B172" s="2" t="s">
        <v>3</v>
      </c>
      <c r="C172" s="3">
        <v>32</v>
      </c>
      <c r="D172" s="3">
        <v>16</v>
      </c>
      <c r="E172" s="6">
        <v>0</v>
      </c>
      <c r="F172">
        <v>1</v>
      </c>
      <c r="G172">
        <v>0</v>
      </c>
    </row>
    <row r="173" spans="1:7" x14ac:dyDescent="0.25">
      <c r="A173" s="1">
        <v>216</v>
      </c>
      <c r="B173" s="2" t="s">
        <v>3</v>
      </c>
      <c r="C173" s="3">
        <v>16</v>
      </c>
      <c r="D173" s="3">
        <v>12</v>
      </c>
      <c r="E173" s="6">
        <v>0</v>
      </c>
      <c r="F173">
        <v>1</v>
      </c>
      <c r="G173">
        <v>0</v>
      </c>
    </row>
    <row r="174" spans="1:7" x14ac:dyDescent="0.25">
      <c r="A174" s="1">
        <v>217</v>
      </c>
      <c r="B174" s="2" t="s">
        <v>3</v>
      </c>
      <c r="C174" s="3">
        <v>20</v>
      </c>
      <c r="D174" s="3">
        <v>10</v>
      </c>
      <c r="E174" s="6">
        <v>0</v>
      </c>
      <c r="F174">
        <v>1</v>
      </c>
      <c r="G174">
        <v>0</v>
      </c>
    </row>
    <row r="175" spans="1:7" x14ac:dyDescent="0.25">
      <c r="A175" s="1">
        <v>218</v>
      </c>
      <c r="B175" s="2" t="s">
        <v>2</v>
      </c>
      <c r="C175" s="3">
        <v>27</v>
      </c>
      <c r="D175" s="3">
        <v>1</v>
      </c>
      <c r="E175" s="6">
        <v>1</v>
      </c>
      <c r="F175">
        <v>0</v>
      </c>
      <c r="G175">
        <v>0</v>
      </c>
    </row>
    <row r="176" spans="1:7" x14ac:dyDescent="0.25">
      <c r="A176" s="1">
        <v>220</v>
      </c>
      <c r="B176" s="2" t="s">
        <v>3</v>
      </c>
      <c r="C176" s="3">
        <v>35</v>
      </c>
      <c r="D176" s="3">
        <v>11</v>
      </c>
      <c r="E176" s="6">
        <v>0</v>
      </c>
      <c r="F176">
        <v>1</v>
      </c>
      <c r="G176">
        <v>0</v>
      </c>
    </row>
    <row r="177" spans="1:7" x14ac:dyDescent="0.25">
      <c r="A177" s="1">
        <v>221</v>
      </c>
      <c r="B177" s="2" t="s">
        <v>3</v>
      </c>
      <c r="C177" s="3">
        <v>21</v>
      </c>
      <c r="D177" s="3">
        <v>14</v>
      </c>
      <c r="E177" s="6">
        <v>0</v>
      </c>
      <c r="F177">
        <v>1</v>
      </c>
      <c r="G177">
        <v>0</v>
      </c>
    </row>
    <row r="178" spans="1:7" x14ac:dyDescent="0.25">
      <c r="A178" s="1">
        <v>222</v>
      </c>
      <c r="B178" s="2" t="s">
        <v>3</v>
      </c>
      <c r="C178" s="3">
        <v>30</v>
      </c>
      <c r="D178" s="3">
        <v>17</v>
      </c>
      <c r="E178" s="6">
        <v>0</v>
      </c>
      <c r="F178">
        <v>1</v>
      </c>
      <c r="G178">
        <v>0</v>
      </c>
    </row>
    <row r="179" spans="1:7" x14ac:dyDescent="0.25">
      <c r="A179" s="1">
        <v>223</v>
      </c>
      <c r="B179" s="2" t="s">
        <v>2</v>
      </c>
      <c r="C179" s="3">
        <v>23</v>
      </c>
      <c r="D179" s="3">
        <v>2</v>
      </c>
      <c r="E179" s="6">
        <v>1</v>
      </c>
      <c r="F179">
        <v>0</v>
      </c>
      <c r="G179">
        <v>0</v>
      </c>
    </row>
    <row r="180" spans="1:7" x14ac:dyDescent="0.25">
      <c r="A180" s="1">
        <v>224</v>
      </c>
      <c r="B180" s="2" t="s">
        <v>2</v>
      </c>
      <c r="C180" s="3">
        <v>19</v>
      </c>
      <c r="D180" s="3">
        <v>5</v>
      </c>
      <c r="E180" s="6">
        <v>1</v>
      </c>
      <c r="F180">
        <v>0</v>
      </c>
      <c r="G180">
        <v>0</v>
      </c>
    </row>
    <row r="181" spans="1:7" x14ac:dyDescent="0.25">
      <c r="A181" s="1">
        <v>225</v>
      </c>
      <c r="B181" s="2" t="s">
        <v>3</v>
      </c>
      <c r="C181" s="3">
        <v>18</v>
      </c>
      <c r="D181" s="3">
        <v>12</v>
      </c>
      <c r="E181" s="6">
        <v>0</v>
      </c>
      <c r="F181">
        <v>1</v>
      </c>
      <c r="G181">
        <v>0</v>
      </c>
    </row>
    <row r="182" spans="1:7" x14ac:dyDescent="0.25">
      <c r="A182" s="1">
        <v>227</v>
      </c>
      <c r="B182" s="2" t="s">
        <v>2</v>
      </c>
      <c r="C182" s="3">
        <v>29</v>
      </c>
      <c r="D182" s="3">
        <v>6</v>
      </c>
      <c r="E182" s="6">
        <v>1</v>
      </c>
      <c r="F182">
        <v>0</v>
      </c>
      <c r="G182">
        <v>0</v>
      </c>
    </row>
    <row r="183" spans="1:7" x14ac:dyDescent="0.25">
      <c r="A183" s="1">
        <v>228</v>
      </c>
      <c r="B183" s="2" t="s">
        <v>3</v>
      </c>
      <c r="C183" s="3">
        <v>20</v>
      </c>
      <c r="D183" s="3">
        <v>8</v>
      </c>
      <c r="E183" s="6">
        <v>0</v>
      </c>
      <c r="F183">
        <v>1</v>
      </c>
      <c r="G183">
        <v>0</v>
      </c>
    </row>
    <row r="184" spans="1:7" x14ac:dyDescent="0.25">
      <c r="A184" s="1">
        <v>229</v>
      </c>
      <c r="B184" s="2" t="s">
        <v>2</v>
      </c>
      <c r="C184" s="3">
        <v>17</v>
      </c>
      <c r="D184" s="3">
        <v>3</v>
      </c>
      <c r="E184" s="6">
        <v>1</v>
      </c>
      <c r="F184">
        <v>0</v>
      </c>
      <c r="G184">
        <v>0</v>
      </c>
    </row>
    <row r="185" spans="1:7" x14ac:dyDescent="0.25">
      <c r="A185" s="1">
        <v>230</v>
      </c>
      <c r="B185" s="2" t="s">
        <v>3</v>
      </c>
      <c r="C185" s="3">
        <v>45</v>
      </c>
      <c r="D185" s="3">
        <v>7</v>
      </c>
      <c r="E185" s="6">
        <v>0</v>
      </c>
      <c r="F185">
        <v>1</v>
      </c>
      <c r="G185">
        <v>0</v>
      </c>
    </row>
    <row r="186" spans="1:7" x14ac:dyDescent="0.25">
      <c r="A186" s="1">
        <v>231</v>
      </c>
      <c r="B186" s="2" t="s">
        <v>2</v>
      </c>
      <c r="C186" s="3">
        <v>20</v>
      </c>
      <c r="D186" s="3">
        <v>6</v>
      </c>
      <c r="E186" s="6">
        <v>1</v>
      </c>
      <c r="F186">
        <v>0</v>
      </c>
      <c r="G186">
        <v>0</v>
      </c>
    </row>
    <row r="187" spans="1:7" x14ac:dyDescent="0.25">
      <c r="A187" s="1">
        <v>233</v>
      </c>
      <c r="B187" s="2" t="s">
        <v>2</v>
      </c>
      <c r="C187" s="3">
        <v>26</v>
      </c>
      <c r="D187" s="3">
        <v>4</v>
      </c>
      <c r="E187" s="6">
        <v>1</v>
      </c>
      <c r="F187">
        <v>0</v>
      </c>
      <c r="G187">
        <v>0</v>
      </c>
    </row>
    <row r="188" spans="1:7" x14ac:dyDescent="0.25">
      <c r="A188" s="1">
        <v>234</v>
      </c>
      <c r="B188" s="2" t="s">
        <v>2</v>
      </c>
      <c r="C188" s="3">
        <v>16</v>
      </c>
      <c r="D188" s="3">
        <v>2</v>
      </c>
      <c r="E188" s="6">
        <v>1</v>
      </c>
      <c r="F188">
        <v>0</v>
      </c>
      <c r="G188">
        <v>0</v>
      </c>
    </row>
    <row r="189" spans="1:7" x14ac:dyDescent="0.25">
      <c r="A189" s="1">
        <v>235</v>
      </c>
      <c r="B189" s="2" t="s">
        <v>3</v>
      </c>
      <c r="C189" s="3">
        <v>23</v>
      </c>
      <c r="D189" s="3">
        <v>10</v>
      </c>
      <c r="E189" s="6">
        <v>0</v>
      </c>
      <c r="F189">
        <v>1</v>
      </c>
      <c r="G189">
        <v>0</v>
      </c>
    </row>
    <row r="190" spans="1:7" x14ac:dyDescent="0.25">
      <c r="A190" s="1">
        <v>237</v>
      </c>
      <c r="B190" s="2" t="s">
        <v>3</v>
      </c>
      <c r="C190" s="3">
        <v>23</v>
      </c>
      <c r="D190" s="3">
        <v>8</v>
      </c>
      <c r="E190" s="6">
        <v>0</v>
      </c>
      <c r="F190">
        <v>1</v>
      </c>
      <c r="G190">
        <v>0</v>
      </c>
    </row>
    <row r="191" spans="1:7" x14ac:dyDescent="0.25">
      <c r="A191" s="1">
        <v>238</v>
      </c>
      <c r="B191" s="2" t="s">
        <v>3</v>
      </c>
      <c r="C191" s="3">
        <v>20</v>
      </c>
      <c r="D191" s="3">
        <v>17</v>
      </c>
      <c r="E191" s="6">
        <v>0</v>
      </c>
      <c r="F191">
        <v>1</v>
      </c>
      <c r="G191">
        <v>0</v>
      </c>
    </row>
    <row r="192" spans="1:7" x14ac:dyDescent="0.25">
      <c r="A192" s="1">
        <v>239</v>
      </c>
      <c r="B192" s="2" t="s">
        <v>3</v>
      </c>
      <c r="C192" s="3">
        <v>38</v>
      </c>
      <c r="D192" s="3">
        <v>7</v>
      </c>
      <c r="E192" s="6">
        <v>0</v>
      </c>
      <c r="F192">
        <v>1</v>
      </c>
      <c r="G192">
        <v>0</v>
      </c>
    </row>
    <row r="193" spans="1:7" x14ac:dyDescent="0.25">
      <c r="A193" s="1">
        <v>240</v>
      </c>
      <c r="B193" s="2" t="s">
        <v>2</v>
      </c>
      <c r="C193" s="3">
        <v>-5</v>
      </c>
      <c r="D193" s="3">
        <v>1</v>
      </c>
      <c r="E193" s="6">
        <v>1</v>
      </c>
      <c r="F193">
        <v>0</v>
      </c>
      <c r="G193">
        <v>0</v>
      </c>
    </row>
    <row r="194" spans="1:7" x14ac:dyDescent="0.25">
      <c r="A194" s="1">
        <v>242</v>
      </c>
      <c r="B194" s="2" t="s">
        <v>3</v>
      </c>
      <c r="C194" s="3">
        <v>26</v>
      </c>
      <c r="D194" s="3">
        <v>13</v>
      </c>
      <c r="E194" s="6">
        <v>0</v>
      </c>
      <c r="F194">
        <v>1</v>
      </c>
      <c r="G194">
        <v>0</v>
      </c>
    </row>
    <row r="195" spans="1:7" x14ac:dyDescent="0.25">
      <c r="A195" s="1">
        <v>243</v>
      </c>
      <c r="B195" s="2" t="s">
        <v>3</v>
      </c>
      <c r="C195" s="3">
        <v>24</v>
      </c>
      <c r="D195" s="3">
        <v>7</v>
      </c>
      <c r="E195" s="6">
        <v>0</v>
      </c>
      <c r="F195">
        <v>1</v>
      </c>
      <c r="G195">
        <v>0</v>
      </c>
    </row>
    <row r="196" spans="1:7" x14ac:dyDescent="0.25">
      <c r="A196" s="1">
        <v>244</v>
      </c>
      <c r="B196" s="2" t="s">
        <v>3</v>
      </c>
      <c r="C196" s="3">
        <v>21</v>
      </c>
      <c r="D196" s="3">
        <v>10</v>
      </c>
      <c r="E196" s="6">
        <v>0</v>
      </c>
      <c r="F196">
        <v>1</v>
      </c>
      <c r="G196">
        <v>0</v>
      </c>
    </row>
    <row r="197" spans="1:7" x14ac:dyDescent="0.25">
      <c r="A197" s="1">
        <v>248</v>
      </c>
      <c r="B197" s="2" t="s">
        <v>3</v>
      </c>
      <c r="C197" s="3">
        <v>25</v>
      </c>
      <c r="D197" s="3">
        <v>8</v>
      </c>
      <c r="E197" s="6">
        <v>0</v>
      </c>
      <c r="F197">
        <v>1</v>
      </c>
      <c r="G197">
        <v>0</v>
      </c>
    </row>
    <row r="198" spans="1:7" x14ac:dyDescent="0.25">
      <c r="A198" s="1">
        <v>249</v>
      </c>
      <c r="B198" s="2" t="s">
        <v>3</v>
      </c>
      <c r="C198" s="3">
        <v>28</v>
      </c>
      <c r="D198" s="3">
        <v>17</v>
      </c>
      <c r="E198" s="6">
        <v>0</v>
      </c>
      <c r="F198">
        <v>1</v>
      </c>
      <c r="G198">
        <v>0</v>
      </c>
    </row>
    <row r="199" spans="1:7" x14ac:dyDescent="0.25">
      <c r="A199" s="1">
        <v>250</v>
      </c>
      <c r="B199" s="2" t="s">
        <v>3</v>
      </c>
      <c r="C199" s="3">
        <v>13</v>
      </c>
      <c r="D199" s="3">
        <v>13</v>
      </c>
      <c r="E199" s="6">
        <v>0</v>
      </c>
      <c r="F199">
        <v>1</v>
      </c>
      <c r="G199">
        <v>0</v>
      </c>
    </row>
    <row r="200" spans="1:7" x14ac:dyDescent="0.25">
      <c r="A200" s="1">
        <v>251</v>
      </c>
      <c r="B200" s="2" t="s">
        <v>3</v>
      </c>
      <c r="C200" s="3">
        <v>27</v>
      </c>
      <c r="D200" s="3">
        <v>10</v>
      </c>
      <c r="E200" s="6">
        <v>0</v>
      </c>
      <c r="F200">
        <v>1</v>
      </c>
      <c r="G200">
        <v>0</v>
      </c>
    </row>
    <row r="201" spans="1:7" x14ac:dyDescent="0.25">
      <c r="A201" s="1">
        <v>252</v>
      </c>
      <c r="B201" s="2" t="s">
        <v>3</v>
      </c>
      <c r="C201" s="3">
        <v>15</v>
      </c>
      <c r="D201" s="3">
        <v>15</v>
      </c>
      <c r="E201" s="6">
        <v>0</v>
      </c>
      <c r="F201">
        <v>1</v>
      </c>
      <c r="G201">
        <v>0</v>
      </c>
    </row>
    <row r="202" spans="1:7" x14ac:dyDescent="0.25">
      <c r="A202" s="1">
        <v>253</v>
      </c>
      <c r="B202" s="2" t="s">
        <v>2</v>
      </c>
      <c r="C202" s="3">
        <v>11</v>
      </c>
      <c r="D202" s="3">
        <v>4</v>
      </c>
      <c r="E202" s="6">
        <v>1</v>
      </c>
      <c r="F202">
        <v>0</v>
      </c>
      <c r="G202">
        <v>0</v>
      </c>
    </row>
    <row r="203" spans="1:7" x14ac:dyDescent="0.25">
      <c r="A203" s="1">
        <v>255</v>
      </c>
      <c r="B203" s="2" t="s">
        <v>2</v>
      </c>
      <c r="C203" s="3">
        <v>28</v>
      </c>
      <c r="D203" s="3">
        <v>0</v>
      </c>
      <c r="E203" s="6">
        <v>1</v>
      </c>
      <c r="F203">
        <v>0</v>
      </c>
      <c r="G203">
        <v>0</v>
      </c>
    </row>
    <row r="204" spans="1:7" x14ac:dyDescent="0.25">
      <c r="A204" s="1">
        <v>257</v>
      </c>
      <c r="B204" s="2" t="s">
        <v>3</v>
      </c>
      <c r="C204" s="3">
        <v>32</v>
      </c>
      <c r="D204" s="3">
        <v>16</v>
      </c>
      <c r="E204" s="6">
        <v>0</v>
      </c>
      <c r="F204">
        <v>1</v>
      </c>
      <c r="G204">
        <v>0</v>
      </c>
    </row>
    <row r="205" spans="1:7" x14ac:dyDescent="0.25">
      <c r="A205" s="1">
        <v>258</v>
      </c>
      <c r="B205" s="2" t="s">
        <v>2</v>
      </c>
      <c r="C205" s="3">
        <v>12</v>
      </c>
      <c r="D205" s="3">
        <v>2</v>
      </c>
      <c r="E205" s="6">
        <v>1</v>
      </c>
      <c r="F205">
        <v>0</v>
      </c>
      <c r="G205">
        <v>0</v>
      </c>
    </row>
    <row r="206" spans="1:7" x14ac:dyDescent="0.25">
      <c r="A206" s="1">
        <v>259</v>
      </c>
      <c r="B206" s="2" t="s">
        <v>2</v>
      </c>
      <c r="C206" s="3">
        <v>37</v>
      </c>
      <c r="D206" s="3">
        <v>0</v>
      </c>
      <c r="E206" s="6">
        <v>1</v>
      </c>
      <c r="F206">
        <v>0</v>
      </c>
      <c r="G206">
        <v>0</v>
      </c>
    </row>
    <row r="207" spans="1:7" x14ac:dyDescent="0.25">
      <c r="A207" s="1">
        <v>262</v>
      </c>
      <c r="B207" s="2" t="s">
        <v>3</v>
      </c>
      <c r="C207" s="3">
        <v>21</v>
      </c>
      <c r="D207" s="3">
        <v>18</v>
      </c>
      <c r="E207" s="6">
        <v>0</v>
      </c>
      <c r="F207">
        <v>1</v>
      </c>
      <c r="G207">
        <v>0</v>
      </c>
    </row>
    <row r="208" spans="1:7" x14ac:dyDescent="0.25">
      <c r="A208" s="1">
        <v>265</v>
      </c>
      <c r="B208" s="2" t="s">
        <v>3</v>
      </c>
      <c r="C208" s="3">
        <v>37</v>
      </c>
      <c r="D208" s="3">
        <v>9</v>
      </c>
      <c r="E208" s="6">
        <v>0</v>
      </c>
      <c r="F208">
        <v>1</v>
      </c>
      <c r="G208">
        <v>0</v>
      </c>
    </row>
    <row r="209" spans="1:7" x14ac:dyDescent="0.25">
      <c r="A209" s="1">
        <v>267</v>
      </c>
      <c r="B209" s="2" t="s">
        <v>3</v>
      </c>
      <c r="C209" s="3">
        <v>21</v>
      </c>
      <c r="D209" s="3">
        <v>19</v>
      </c>
      <c r="E209" s="6">
        <v>0</v>
      </c>
      <c r="F209">
        <v>1</v>
      </c>
      <c r="G209">
        <v>0</v>
      </c>
    </row>
    <row r="210" spans="1:7" x14ac:dyDescent="0.25">
      <c r="A210" s="1">
        <v>268</v>
      </c>
      <c r="B210" s="2" t="s">
        <v>3</v>
      </c>
      <c r="C210" s="3">
        <v>16</v>
      </c>
      <c r="D210" s="3">
        <v>16</v>
      </c>
      <c r="E210" s="6">
        <v>0</v>
      </c>
      <c r="F210">
        <v>1</v>
      </c>
      <c r="G210">
        <v>0</v>
      </c>
    </row>
    <row r="211" spans="1:7" x14ac:dyDescent="0.25">
      <c r="A211" s="1">
        <v>270</v>
      </c>
      <c r="B211" s="2" t="s">
        <v>3</v>
      </c>
      <c r="C211" s="3">
        <v>33</v>
      </c>
      <c r="D211" s="3">
        <v>15</v>
      </c>
      <c r="E211" s="6">
        <v>0</v>
      </c>
      <c r="F211">
        <v>1</v>
      </c>
      <c r="G211">
        <v>0</v>
      </c>
    </row>
    <row r="212" spans="1:7" x14ac:dyDescent="0.25">
      <c r="A212" s="1">
        <v>272</v>
      </c>
      <c r="B212" s="2" t="s">
        <v>3</v>
      </c>
      <c r="C212" s="3">
        <v>33</v>
      </c>
      <c r="D212" s="3">
        <v>6</v>
      </c>
      <c r="E212" s="6">
        <v>0</v>
      </c>
      <c r="F212">
        <v>1</v>
      </c>
      <c r="G212">
        <v>0</v>
      </c>
    </row>
    <row r="213" spans="1:7" x14ac:dyDescent="0.25">
      <c r="A213" s="1">
        <v>273</v>
      </c>
      <c r="B213" s="2" t="s">
        <v>3</v>
      </c>
      <c r="C213" s="3">
        <v>25</v>
      </c>
      <c r="D213" s="3">
        <v>14</v>
      </c>
      <c r="E213" s="6">
        <v>0</v>
      </c>
      <c r="F213">
        <v>1</v>
      </c>
      <c r="G213">
        <v>0</v>
      </c>
    </row>
    <row r="214" spans="1:7" x14ac:dyDescent="0.25">
      <c r="A214" s="1">
        <v>274</v>
      </c>
      <c r="B214" s="2" t="s">
        <v>3</v>
      </c>
      <c r="C214" s="3">
        <v>34</v>
      </c>
      <c r="D214" s="3">
        <v>6</v>
      </c>
      <c r="E214" s="6">
        <v>0</v>
      </c>
      <c r="F214">
        <v>1</v>
      </c>
      <c r="G214">
        <v>0</v>
      </c>
    </row>
    <row r="215" spans="1:7" x14ac:dyDescent="0.25">
      <c r="A215" s="1">
        <v>275</v>
      </c>
      <c r="B215" s="2" t="s">
        <v>3</v>
      </c>
      <c r="C215" s="3">
        <v>20</v>
      </c>
      <c r="D215" s="3">
        <v>15</v>
      </c>
      <c r="E215" s="6">
        <v>0</v>
      </c>
      <c r="F215">
        <v>1</v>
      </c>
      <c r="G215">
        <v>0</v>
      </c>
    </row>
    <row r="216" spans="1:7" x14ac:dyDescent="0.25">
      <c r="A216" s="1">
        <v>278</v>
      </c>
      <c r="B216" s="2" t="s">
        <v>2</v>
      </c>
      <c r="C216" s="3">
        <v>13</v>
      </c>
      <c r="D216" s="3">
        <v>4</v>
      </c>
      <c r="E216" s="6">
        <v>1</v>
      </c>
      <c r="F216">
        <v>0</v>
      </c>
      <c r="G216">
        <v>0</v>
      </c>
    </row>
    <row r="217" spans="1:7" x14ac:dyDescent="0.25">
      <c r="A217" s="1">
        <v>279</v>
      </c>
      <c r="B217" s="2" t="s">
        <v>3</v>
      </c>
      <c r="C217" s="3">
        <v>12</v>
      </c>
      <c r="D217" s="3">
        <v>10</v>
      </c>
      <c r="E217" s="6">
        <v>0</v>
      </c>
      <c r="F217">
        <v>1</v>
      </c>
      <c r="G217">
        <v>0</v>
      </c>
    </row>
    <row r="218" spans="1:7" x14ac:dyDescent="0.25">
      <c r="A218" s="1">
        <v>280</v>
      </c>
      <c r="B218" s="2" t="s">
        <v>3</v>
      </c>
      <c r="C218" s="3">
        <v>27</v>
      </c>
      <c r="D218" s="3">
        <v>14</v>
      </c>
      <c r="E218" s="6">
        <v>0</v>
      </c>
      <c r="F218">
        <v>1</v>
      </c>
      <c r="G218">
        <v>0</v>
      </c>
    </row>
    <row r="219" spans="1:7" x14ac:dyDescent="0.25">
      <c r="A219" s="1">
        <v>281</v>
      </c>
      <c r="B219" s="2" t="s">
        <v>3</v>
      </c>
      <c r="C219" s="3">
        <v>20</v>
      </c>
      <c r="D219" s="3">
        <v>11</v>
      </c>
      <c r="E219" s="6">
        <v>0</v>
      </c>
      <c r="F219">
        <v>1</v>
      </c>
      <c r="G219">
        <v>0</v>
      </c>
    </row>
    <row r="220" spans="1:7" x14ac:dyDescent="0.25">
      <c r="A220" s="1">
        <v>283</v>
      </c>
      <c r="B220" s="2" t="s">
        <v>2</v>
      </c>
      <c r="C220" s="3">
        <v>29</v>
      </c>
      <c r="D220" s="3">
        <v>0</v>
      </c>
      <c r="E220" s="6">
        <v>1</v>
      </c>
      <c r="F220">
        <v>0</v>
      </c>
      <c r="G220">
        <v>0</v>
      </c>
    </row>
    <row r="221" spans="1:7" x14ac:dyDescent="0.25">
      <c r="A221" s="1">
        <v>284</v>
      </c>
      <c r="B221" s="2" t="s">
        <v>3</v>
      </c>
      <c r="C221" s="3">
        <v>22</v>
      </c>
      <c r="D221" s="3">
        <v>10</v>
      </c>
      <c r="E221" s="6">
        <v>0</v>
      </c>
      <c r="F221">
        <v>1</v>
      </c>
      <c r="G221">
        <v>0</v>
      </c>
    </row>
    <row r="222" spans="1:7" x14ac:dyDescent="0.25">
      <c r="A222" s="1">
        <v>285</v>
      </c>
      <c r="B222" s="2" t="s">
        <v>2</v>
      </c>
      <c r="C222" s="3">
        <v>27</v>
      </c>
      <c r="D222" s="3">
        <v>0</v>
      </c>
      <c r="E222" s="6">
        <v>1</v>
      </c>
      <c r="F222">
        <v>0</v>
      </c>
      <c r="G222">
        <v>0</v>
      </c>
    </row>
    <row r="223" spans="1:7" x14ac:dyDescent="0.25">
      <c r="A223" s="1">
        <v>286</v>
      </c>
      <c r="B223" s="2" t="s">
        <v>3</v>
      </c>
      <c r="C223" s="3">
        <v>20</v>
      </c>
      <c r="D223" s="3">
        <v>18</v>
      </c>
      <c r="E223" s="6">
        <v>0</v>
      </c>
      <c r="F223">
        <v>1</v>
      </c>
      <c r="G223">
        <v>0</v>
      </c>
    </row>
    <row r="224" spans="1:7" x14ac:dyDescent="0.25">
      <c r="A224" s="1">
        <v>288</v>
      </c>
      <c r="B224" s="2" t="s">
        <v>3</v>
      </c>
      <c r="C224" s="3">
        <v>27</v>
      </c>
      <c r="D224" s="3">
        <v>9</v>
      </c>
      <c r="E224" s="6">
        <v>0</v>
      </c>
      <c r="F224">
        <v>1</v>
      </c>
      <c r="G224">
        <v>0</v>
      </c>
    </row>
    <row r="225" spans="1:7" x14ac:dyDescent="0.25">
      <c r="A225" s="1">
        <v>289</v>
      </c>
      <c r="B225" s="2" t="s">
        <v>2</v>
      </c>
      <c r="C225" s="3">
        <v>23</v>
      </c>
      <c r="D225" s="3">
        <v>3</v>
      </c>
      <c r="E225" s="6">
        <v>1</v>
      </c>
      <c r="F225">
        <v>0</v>
      </c>
      <c r="G225">
        <v>0</v>
      </c>
    </row>
    <row r="226" spans="1:7" x14ac:dyDescent="0.25">
      <c r="A226" s="1">
        <v>290</v>
      </c>
      <c r="B226" s="2" t="s">
        <v>2</v>
      </c>
      <c r="C226" s="3">
        <v>16</v>
      </c>
      <c r="D226" s="3">
        <v>4</v>
      </c>
      <c r="E226" s="6">
        <v>1</v>
      </c>
      <c r="F226">
        <v>0</v>
      </c>
      <c r="G226">
        <v>0</v>
      </c>
    </row>
    <row r="227" spans="1:7" x14ac:dyDescent="0.25">
      <c r="A227" s="1">
        <v>291</v>
      </c>
      <c r="B227" s="2" t="s">
        <v>3</v>
      </c>
      <c r="C227" s="3">
        <v>23</v>
      </c>
      <c r="D227" s="3">
        <v>10</v>
      </c>
      <c r="E227" s="6">
        <v>0</v>
      </c>
      <c r="F227">
        <v>1</v>
      </c>
      <c r="G227">
        <v>0</v>
      </c>
    </row>
    <row r="228" spans="1:7" x14ac:dyDescent="0.25">
      <c r="A228" s="1">
        <v>292</v>
      </c>
      <c r="B228" s="2" t="s">
        <v>3</v>
      </c>
      <c r="C228" s="3">
        <v>24</v>
      </c>
      <c r="D228" s="3">
        <v>13</v>
      </c>
      <c r="E228" s="6">
        <v>0</v>
      </c>
      <c r="F228">
        <v>1</v>
      </c>
      <c r="G228">
        <v>0</v>
      </c>
    </row>
    <row r="229" spans="1:7" x14ac:dyDescent="0.25">
      <c r="A229" s="1">
        <v>294</v>
      </c>
      <c r="B229" s="2" t="s">
        <v>2</v>
      </c>
      <c r="C229" s="3">
        <v>14</v>
      </c>
      <c r="D229" s="3">
        <v>3</v>
      </c>
      <c r="E229" s="6">
        <v>1</v>
      </c>
      <c r="F229">
        <v>0</v>
      </c>
      <c r="G229">
        <v>0</v>
      </c>
    </row>
    <row r="230" spans="1:7" x14ac:dyDescent="0.25">
      <c r="A230" s="1">
        <v>295</v>
      </c>
      <c r="B230" s="2" t="s">
        <v>2</v>
      </c>
      <c r="C230" s="3">
        <v>18</v>
      </c>
      <c r="D230" s="3">
        <v>3</v>
      </c>
      <c r="E230" s="6">
        <v>1</v>
      </c>
      <c r="F230">
        <v>0</v>
      </c>
      <c r="G230">
        <v>0</v>
      </c>
    </row>
    <row r="231" spans="1:7" x14ac:dyDescent="0.25">
      <c r="A231" s="1">
        <v>296</v>
      </c>
      <c r="B231" s="2" t="s">
        <v>2</v>
      </c>
      <c r="C231" s="3">
        <v>17</v>
      </c>
      <c r="D231" s="3">
        <v>5</v>
      </c>
      <c r="E231" s="6">
        <v>1</v>
      </c>
      <c r="F231">
        <v>0</v>
      </c>
      <c r="G231">
        <v>0</v>
      </c>
    </row>
    <row r="232" spans="1:7" x14ac:dyDescent="0.25">
      <c r="A232" s="1">
        <v>297</v>
      </c>
      <c r="B232" s="2" t="s">
        <v>2</v>
      </c>
      <c r="C232" s="3">
        <v>16</v>
      </c>
      <c r="D232" s="3">
        <v>2</v>
      </c>
      <c r="E232" s="6">
        <v>1</v>
      </c>
      <c r="F232">
        <v>0</v>
      </c>
      <c r="G232">
        <v>0</v>
      </c>
    </row>
    <row r="233" spans="1:7" x14ac:dyDescent="0.25">
      <c r="A233" s="1">
        <v>298</v>
      </c>
      <c r="B233" s="2" t="s">
        <v>2</v>
      </c>
      <c r="C233" s="3">
        <v>15</v>
      </c>
      <c r="D233" s="3">
        <v>1</v>
      </c>
      <c r="E233" s="6">
        <v>1</v>
      </c>
      <c r="F233">
        <v>0</v>
      </c>
      <c r="G233">
        <v>0</v>
      </c>
    </row>
    <row r="234" spans="1:7" x14ac:dyDescent="0.25">
      <c r="A234" s="1">
        <v>299</v>
      </c>
      <c r="B234" s="2" t="s">
        <v>3</v>
      </c>
      <c r="C234" s="3">
        <v>38</v>
      </c>
      <c r="D234" s="3">
        <v>10</v>
      </c>
      <c r="E234" s="6">
        <v>0</v>
      </c>
      <c r="F234">
        <v>1</v>
      </c>
      <c r="G234">
        <v>0</v>
      </c>
    </row>
    <row r="235" spans="1:7" x14ac:dyDescent="0.25">
      <c r="A235" s="1">
        <v>300</v>
      </c>
      <c r="B235" s="2" t="s">
        <v>3</v>
      </c>
      <c r="C235" s="3">
        <v>31</v>
      </c>
      <c r="D235" s="3">
        <v>15</v>
      </c>
      <c r="E235" s="6">
        <v>0</v>
      </c>
      <c r="F235">
        <v>1</v>
      </c>
      <c r="G235">
        <v>0</v>
      </c>
    </row>
    <row r="236" spans="1:7" x14ac:dyDescent="0.25">
      <c r="A236" s="1">
        <v>4</v>
      </c>
      <c r="B236" s="7" t="s">
        <v>4</v>
      </c>
      <c r="C236" s="3">
        <v>38</v>
      </c>
      <c r="D236" s="3">
        <v>74</v>
      </c>
      <c r="E236" s="6">
        <v>0</v>
      </c>
      <c r="F236">
        <v>0</v>
      </c>
      <c r="G236">
        <v>1</v>
      </c>
    </row>
    <row r="237" spans="1:7" x14ac:dyDescent="0.25">
      <c r="A237" s="1">
        <v>13</v>
      </c>
      <c r="B237" s="2" t="s">
        <v>4</v>
      </c>
      <c r="C237" s="3">
        <v>42</v>
      </c>
      <c r="D237" s="3">
        <v>18</v>
      </c>
      <c r="E237" s="6">
        <v>0</v>
      </c>
      <c r="F237">
        <v>0</v>
      </c>
      <c r="G237">
        <v>1</v>
      </c>
    </row>
    <row r="238" spans="1:7" x14ac:dyDescent="0.25">
      <c r="A238" s="1">
        <v>14</v>
      </c>
      <c r="B238" s="2" t="s">
        <v>4</v>
      </c>
      <c r="C238" s="3">
        <v>34</v>
      </c>
      <c r="D238" s="3">
        <v>46</v>
      </c>
      <c r="E238" s="6">
        <v>0</v>
      </c>
      <c r="F238">
        <v>0</v>
      </c>
      <c r="G238">
        <v>1</v>
      </c>
    </row>
    <row r="239" spans="1:7" x14ac:dyDescent="0.25">
      <c r="A239" s="1">
        <v>18</v>
      </c>
      <c r="B239" s="2" t="s">
        <v>4</v>
      </c>
      <c r="C239" s="3">
        <v>17</v>
      </c>
      <c r="D239" s="3">
        <v>36</v>
      </c>
      <c r="E239" s="6">
        <v>0</v>
      </c>
      <c r="F239">
        <v>0</v>
      </c>
      <c r="G239">
        <v>1</v>
      </c>
    </row>
    <row r="240" spans="1:7" x14ac:dyDescent="0.25">
      <c r="A240" s="1">
        <v>23</v>
      </c>
      <c r="B240" s="2" t="s">
        <v>4</v>
      </c>
      <c r="C240" s="3">
        <v>32</v>
      </c>
      <c r="D240" s="3">
        <v>27</v>
      </c>
      <c r="E240" s="6">
        <v>0</v>
      </c>
      <c r="F240">
        <v>0</v>
      </c>
      <c r="G240">
        <v>1</v>
      </c>
    </row>
    <row r="241" spans="1:7" x14ac:dyDescent="0.25">
      <c r="A241" s="1">
        <v>24</v>
      </c>
      <c r="B241" s="2" t="s">
        <v>4</v>
      </c>
      <c r="C241" s="3">
        <v>33</v>
      </c>
      <c r="D241" s="3">
        <v>80</v>
      </c>
      <c r="E241" s="6">
        <v>0</v>
      </c>
      <c r="F241">
        <v>0</v>
      </c>
      <c r="G241">
        <v>1</v>
      </c>
    </row>
    <row r="242" spans="1:7" x14ac:dyDescent="0.25">
      <c r="A242" s="1">
        <v>33</v>
      </c>
      <c r="B242" s="2" t="s">
        <v>4</v>
      </c>
      <c r="C242" s="3">
        <v>44</v>
      </c>
      <c r="D242" s="3">
        <v>34</v>
      </c>
      <c r="E242" s="6">
        <v>0</v>
      </c>
      <c r="F242">
        <v>0</v>
      </c>
      <c r="G242">
        <v>1</v>
      </c>
    </row>
    <row r="243" spans="1:7" x14ac:dyDescent="0.25">
      <c r="A243" s="1">
        <v>35</v>
      </c>
      <c r="B243" s="2" t="s">
        <v>4</v>
      </c>
      <c r="C243" s="3">
        <v>47</v>
      </c>
      <c r="D243" s="3">
        <v>29</v>
      </c>
      <c r="E243" s="6">
        <v>0</v>
      </c>
      <c r="F243">
        <v>0</v>
      </c>
      <c r="G243">
        <v>1</v>
      </c>
    </row>
    <row r="244" spans="1:7" x14ac:dyDescent="0.25">
      <c r="A244" s="1">
        <v>37</v>
      </c>
      <c r="B244" s="2" t="s">
        <v>4</v>
      </c>
      <c r="C244" s="3">
        <v>35</v>
      </c>
      <c r="D244" s="3">
        <v>41</v>
      </c>
      <c r="E244" s="6">
        <v>0</v>
      </c>
      <c r="F244">
        <v>0</v>
      </c>
      <c r="G244">
        <v>1</v>
      </c>
    </row>
    <row r="245" spans="1:7" x14ac:dyDescent="0.25">
      <c r="A245" s="1">
        <v>40</v>
      </c>
      <c r="B245" s="2" t="s">
        <v>4</v>
      </c>
      <c r="C245" s="3">
        <v>27</v>
      </c>
      <c r="D245" s="3">
        <v>21</v>
      </c>
      <c r="E245" s="6">
        <v>0</v>
      </c>
      <c r="F245">
        <v>0</v>
      </c>
      <c r="G245">
        <v>1</v>
      </c>
    </row>
    <row r="246" spans="1:7" x14ac:dyDescent="0.25">
      <c r="A246" s="1">
        <v>42</v>
      </c>
      <c r="B246" s="2" t="s">
        <v>4</v>
      </c>
      <c r="C246" s="3">
        <v>45</v>
      </c>
      <c r="D246" s="3">
        <v>24</v>
      </c>
      <c r="E246" s="6">
        <v>0</v>
      </c>
      <c r="F246">
        <v>0</v>
      </c>
      <c r="G246">
        <v>1</v>
      </c>
    </row>
    <row r="247" spans="1:7" x14ac:dyDescent="0.25">
      <c r="A247" s="1">
        <v>45</v>
      </c>
      <c r="B247" s="2" t="s">
        <v>4</v>
      </c>
      <c r="C247" s="3">
        <v>40</v>
      </c>
      <c r="D247" s="3">
        <v>29</v>
      </c>
      <c r="E247" s="6">
        <v>0</v>
      </c>
      <c r="F247">
        <v>0</v>
      </c>
      <c r="G247">
        <v>1</v>
      </c>
    </row>
    <row r="248" spans="1:7" x14ac:dyDescent="0.25">
      <c r="A248" s="1">
        <v>46</v>
      </c>
      <c r="B248" s="2" t="s">
        <v>4</v>
      </c>
      <c r="C248" s="3">
        <v>31</v>
      </c>
      <c r="D248" s="3">
        <v>39</v>
      </c>
      <c r="E248" s="6">
        <v>0</v>
      </c>
      <c r="F248">
        <v>0</v>
      </c>
      <c r="G248">
        <v>1</v>
      </c>
    </row>
    <row r="249" spans="1:7" x14ac:dyDescent="0.25">
      <c r="A249" s="1">
        <v>49</v>
      </c>
      <c r="B249" s="2" t="s">
        <v>4</v>
      </c>
      <c r="C249" s="3">
        <v>36</v>
      </c>
      <c r="D249" s="3">
        <v>40</v>
      </c>
      <c r="E249" s="6">
        <v>0</v>
      </c>
      <c r="F249">
        <v>0</v>
      </c>
      <c r="G249">
        <v>1</v>
      </c>
    </row>
    <row r="250" spans="1:7" x14ac:dyDescent="0.25">
      <c r="A250" s="1">
        <v>50</v>
      </c>
      <c r="B250" s="2" t="s">
        <v>4</v>
      </c>
      <c r="C250" s="3">
        <v>24</v>
      </c>
      <c r="D250" s="3">
        <v>20</v>
      </c>
      <c r="E250" s="6">
        <v>0</v>
      </c>
      <c r="F250">
        <v>0</v>
      </c>
      <c r="G250">
        <v>1</v>
      </c>
    </row>
    <row r="251" spans="1:7" x14ac:dyDescent="0.25">
      <c r="A251" s="1">
        <v>54</v>
      </c>
      <c r="B251" s="2" t="s">
        <v>4</v>
      </c>
      <c r="C251" s="3">
        <v>21</v>
      </c>
      <c r="D251" s="3">
        <v>28</v>
      </c>
      <c r="E251" s="6">
        <v>0</v>
      </c>
      <c r="F251">
        <v>0</v>
      </c>
      <c r="G251">
        <v>1</v>
      </c>
    </row>
    <row r="252" spans="1:7" x14ac:dyDescent="0.25">
      <c r="A252" s="1">
        <v>57</v>
      </c>
      <c r="B252" s="2" t="s">
        <v>4</v>
      </c>
      <c r="C252" s="3">
        <v>25</v>
      </c>
      <c r="D252" s="3">
        <v>40</v>
      </c>
      <c r="E252" s="6">
        <v>0</v>
      </c>
      <c r="F252">
        <v>0</v>
      </c>
      <c r="G252">
        <v>1</v>
      </c>
    </row>
    <row r="253" spans="1:7" x14ac:dyDescent="0.25">
      <c r="A253" s="1">
        <v>62</v>
      </c>
      <c r="B253" s="2" t="s">
        <v>4</v>
      </c>
      <c r="C253" s="3">
        <v>41</v>
      </c>
      <c r="D253" s="3">
        <v>30</v>
      </c>
      <c r="E253" s="6">
        <v>0</v>
      </c>
      <c r="F253">
        <v>0</v>
      </c>
      <c r="G253">
        <v>1</v>
      </c>
    </row>
    <row r="254" spans="1:7" x14ac:dyDescent="0.25">
      <c r="A254" s="1">
        <v>66</v>
      </c>
      <c r="B254" s="2" t="s">
        <v>4</v>
      </c>
      <c r="C254" s="3">
        <v>40</v>
      </c>
      <c r="D254" s="3">
        <v>36</v>
      </c>
      <c r="E254" s="6">
        <v>0</v>
      </c>
      <c r="F254">
        <v>0</v>
      </c>
      <c r="G254">
        <v>1</v>
      </c>
    </row>
    <row r="255" spans="1:7" x14ac:dyDescent="0.25">
      <c r="A255" s="1">
        <v>68</v>
      </c>
      <c r="B255" s="2" t="s">
        <v>4</v>
      </c>
      <c r="C255" s="3">
        <v>26</v>
      </c>
      <c r="D255" s="3">
        <v>33</v>
      </c>
      <c r="E255" s="6">
        <v>0</v>
      </c>
      <c r="F255">
        <v>0</v>
      </c>
      <c r="G255">
        <v>1</v>
      </c>
    </row>
    <row r="256" spans="1:7" x14ac:dyDescent="0.25">
      <c r="A256" s="1">
        <v>82</v>
      </c>
      <c r="B256" s="2" t="s">
        <v>4</v>
      </c>
      <c r="C256" s="3">
        <v>28</v>
      </c>
      <c r="D256" s="3">
        <v>30</v>
      </c>
      <c r="E256" s="6">
        <v>0</v>
      </c>
      <c r="F256">
        <v>0</v>
      </c>
      <c r="G256">
        <v>1</v>
      </c>
    </row>
    <row r="257" spans="1:7" x14ac:dyDescent="0.25">
      <c r="A257" s="1">
        <v>85</v>
      </c>
      <c r="B257" s="2" t="s">
        <v>4</v>
      </c>
      <c r="C257" s="3">
        <v>46</v>
      </c>
      <c r="D257" s="3">
        <v>94</v>
      </c>
      <c r="E257" s="6">
        <v>0</v>
      </c>
      <c r="F257">
        <v>0</v>
      </c>
      <c r="G257">
        <v>1</v>
      </c>
    </row>
    <row r="258" spans="1:7" x14ac:dyDescent="0.25">
      <c r="A258" s="1">
        <v>90</v>
      </c>
      <c r="B258" s="2" t="s">
        <v>4</v>
      </c>
      <c r="C258" s="3">
        <v>20</v>
      </c>
      <c r="D258" s="3">
        <v>21</v>
      </c>
      <c r="E258" s="6">
        <v>0</v>
      </c>
      <c r="F258">
        <v>0</v>
      </c>
      <c r="G258">
        <v>1</v>
      </c>
    </row>
    <row r="259" spans="1:7" x14ac:dyDescent="0.25">
      <c r="A259" s="1">
        <v>94</v>
      </c>
      <c r="B259" s="2" t="s">
        <v>4</v>
      </c>
      <c r="C259" s="3">
        <v>33</v>
      </c>
      <c r="D259" s="3">
        <v>22</v>
      </c>
      <c r="E259" s="6">
        <v>0</v>
      </c>
      <c r="F259">
        <v>0</v>
      </c>
      <c r="G259">
        <v>1</v>
      </c>
    </row>
    <row r="260" spans="1:7" x14ac:dyDescent="0.25">
      <c r="A260" s="1">
        <v>98</v>
      </c>
      <c r="B260" s="2" t="s">
        <v>4</v>
      </c>
      <c r="C260" s="3">
        <v>28</v>
      </c>
      <c r="D260" s="3">
        <v>42</v>
      </c>
      <c r="E260" s="6">
        <v>0</v>
      </c>
      <c r="F260">
        <v>0</v>
      </c>
      <c r="G260">
        <v>1</v>
      </c>
    </row>
    <row r="261" spans="1:7" x14ac:dyDescent="0.25">
      <c r="A261" s="1">
        <v>100</v>
      </c>
      <c r="B261" s="2" t="s">
        <v>4</v>
      </c>
      <c r="C261" s="3">
        <v>31</v>
      </c>
      <c r="D261" s="3">
        <v>13</v>
      </c>
      <c r="E261" s="6">
        <v>0</v>
      </c>
      <c r="F261">
        <v>0</v>
      </c>
      <c r="G261">
        <v>1</v>
      </c>
    </row>
    <row r="262" spans="1:7" x14ac:dyDescent="0.25">
      <c r="A262" s="1">
        <v>102</v>
      </c>
      <c r="B262" s="2" t="s">
        <v>4</v>
      </c>
      <c r="C262" s="3">
        <v>30</v>
      </c>
      <c r="D262" s="3">
        <v>14</v>
      </c>
      <c r="E262" s="6">
        <v>0</v>
      </c>
      <c r="F262">
        <v>0</v>
      </c>
      <c r="G262">
        <v>1</v>
      </c>
    </row>
    <row r="263" spans="1:7" x14ac:dyDescent="0.25">
      <c r="A263" s="1">
        <v>104</v>
      </c>
      <c r="B263" s="2" t="s">
        <v>4</v>
      </c>
      <c r="C263" s="3">
        <v>32</v>
      </c>
      <c r="D263" s="3">
        <v>42</v>
      </c>
      <c r="E263" s="6">
        <v>0</v>
      </c>
      <c r="F263">
        <v>0</v>
      </c>
      <c r="G263">
        <v>1</v>
      </c>
    </row>
    <row r="264" spans="1:7" x14ac:dyDescent="0.25">
      <c r="A264" s="1">
        <v>109</v>
      </c>
      <c r="B264" s="2" t="s">
        <v>4</v>
      </c>
      <c r="C264" s="3">
        <v>37</v>
      </c>
      <c r="D264" s="3">
        <v>39</v>
      </c>
      <c r="E264" s="6">
        <v>0</v>
      </c>
      <c r="F264">
        <v>0</v>
      </c>
      <c r="G264">
        <v>1</v>
      </c>
    </row>
    <row r="265" spans="1:7" x14ac:dyDescent="0.25">
      <c r="A265" s="1">
        <v>129</v>
      </c>
      <c r="B265" s="2" t="s">
        <v>4</v>
      </c>
      <c r="C265" s="3">
        <v>35</v>
      </c>
      <c r="D265" s="3">
        <v>45</v>
      </c>
      <c r="E265" s="6">
        <v>0</v>
      </c>
      <c r="F265">
        <v>0</v>
      </c>
      <c r="G265">
        <v>1</v>
      </c>
    </row>
    <row r="266" spans="1:7" x14ac:dyDescent="0.25">
      <c r="A266" s="1">
        <v>130</v>
      </c>
      <c r="B266" s="2" t="s">
        <v>4</v>
      </c>
      <c r="C266" s="3">
        <v>41</v>
      </c>
      <c r="D266" s="3">
        <v>37</v>
      </c>
      <c r="E266" s="6">
        <v>0</v>
      </c>
      <c r="F266">
        <v>0</v>
      </c>
      <c r="G266">
        <v>1</v>
      </c>
    </row>
    <row r="267" spans="1:7" x14ac:dyDescent="0.25">
      <c r="A267" s="1">
        <v>132</v>
      </c>
      <c r="B267" s="2" t="s">
        <v>4</v>
      </c>
      <c r="C267" s="3">
        <v>30</v>
      </c>
      <c r="D267" s="3">
        <v>14</v>
      </c>
      <c r="E267" s="6">
        <v>0</v>
      </c>
      <c r="F267">
        <v>0</v>
      </c>
      <c r="G267">
        <v>1</v>
      </c>
    </row>
    <row r="268" spans="1:7" x14ac:dyDescent="0.25">
      <c r="A268" s="1">
        <v>134</v>
      </c>
      <c r="B268" s="2" t="s">
        <v>4</v>
      </c>
      <c r="C268" s="3">
        <v>33</v>
      </c>
      <c r="D268" s="3">
        <v>34</v>
      </c>
      <c r="E268" s="6">
        <v>0</v>
      </c>
      <c r="F268">
        <v>0</v>
      </c>
      <c r="G268">
        <v>1</v>
      </c>
    </row>
    <row r="269" spans="1:7" x14ac:dyDescent="0.25">
      <c r="A269" s="1">
        <v>135</v>
      </c>
      <c r="B269" s="2" t="s">
        <v>4</v>
      </c>
      <c r="C269" s="3">
        <v>32</v>
      </c>
      <c r="D269" s="3">
        <v>29</v>
      </c>
      <c r="E269" s="6">
        <v>0</v>
      </c>
      <c r="F269">
        <v>0</v>
      </c>
      <c r="G269">
        <v>1</v>
      </c>
    </row>
    <row r="270" spans="1:7" x14ac:dyDescent="0.25">
      <c r="A270" s="1">
        <v>138</v>
      </c>
      <c r="B270" s="2" t="s">
        <v>4</v>
      </c>
      <c r="C270" s="3">
        <v>38</v>
      </c>
      <c r="D270" s="3">
        <v>44</v>
      </c>
      <c r="E270" s="6">
        <v>0</v>
      </c>
      <c r="F270">
        <v>0</v>
      </c>
      <c r="G270">
        <v>1</v>
      </c>
    </row>
    <row r="271" spans="1:7" x14ac:dyDescent="0.25">
      <c r="A271" s="1">
        <v>158</v>
      </c>
      <c r="B271" s="2" t="s">
        <v>4</v>
      </c>
      <c r="C271" s="3">
        <v>35</v>
      </c>
      <c r="D271" s="3">
        <v>35</v>
      </c>
      <c r="E271" s="6">
        <v>0</v>
      </c>
      <c r="F271">
        <v>0</v>
      </c>
      <c r="G271">
        <v>1</v>
      </c>
    </row>
    <row r="272" spans="1:7" x14ac:dyDescent="0.25">
      <c r="A272" s="1">
        <v>163</v>
      </c>
      <c r="B272" s="2" t="s">
        <v>4</v>
      </c>
      <c r="C272" s="3">
        <v>43</v>
      </c>
      <c r="D272" s="3">
        <v>24</v>
      </c>
      <c r="E272" s="6">
        <v>0</v>
      </c>
      <c r="F272">
        <v>0</v>
      </c>
      <c r="G272">
        <v>1</v>
      </c>
    </row>
    <row r="273" spans="1:7" x14ac:dyDescent="0.25">
      <c r="A273" s="1">
        <v>165</v>
      </c>
      <c r="B273" s="2" t="s">
        <v>4</v>
      </c>
      <c r="C273" s="3">
        <v>27</v>
      </c>
      <c r="D273" s="3">
        <v>24</v>
      </c>
      <c r="E273" s="6">
        <v>0</v>
      </c>
      <c r="F273">
        <v>0</v>
      </c>
      <c r="G273">
        <v>1</v>
      </c>
    </row>
    <row r="274" spans="1:7" x14ac:dyDescent="0.25">
      <c r="A274" s="1">
        <v>166</v>
      </c>
      <c r="B274" s="2" t="s">
        <v>4</v>
      </c>
      <c r="C274" s="3">
        <v>32</v>
      </c>
      <c r="D274" s="3">
        <v>40</v>
      </c>
      <c r="E274" s="6">
        <v>0</v>
      </c>
      <c r="F274">
        <v>0</v>
      </c>
      <c r="G274">
        <v>1</v>
      </c>
    </row>
    <row r="275" spans="1:7" x14ac:dyDescent="0.25">
      <c r="A275" s="1">
        <v>167</v>
      </c>
      <c r="B275" s="2" t="s">
        <v>4</v>
      </c>
      <c r="C275" s="3">
        <v>36</v>
      </c>
      <c r="D275" s="3">
        <v>22</v>
      </c>
      <c r="E275" s="6">
        <v>0</v>
      </c>
      <c r="F275">
        <v>0</v>
      </c>
      <c r="G275">
        <v>1</v>
      </c>
    </row>
    <row r="276" spans="1:7" x14ac:dyDescent="0.25">
      <c r="A276" s="1">
        <v>170</v>
      </c>
      <c r="B276" s="2" t="s">
        <v>4</v>
      </c>
      <c r="C276" s="3">
        <v>48</v>
      </c>
      <c r="D276" s="3">
        <v>19</v>
      </c>
      <c r="E276" s="6">
        <v>0</v>
      </c>
      <c r="F276">
        <v>0</v>
      </c>
      <c r="G276">
        <v>1</v>
      </c>
    </row>
    <row r="277" spans="1:7" x14ac:dyDescent="0.25">
      <c r="A277" s="1">
        <v>177</v>
      </c>
      <c r="B277" s="2" t="s">
        <v>4</v>
      </c>
      <c r="C277" s="3">
        <v>27</v>
      </c>
      <c r="D277" s="3">
        <v>44</v>
      </c>
      <c r="E277" s="6">
        <v>0</v>
      </c>
      <c r="F277">
        <v>0</v>
      </c>
      <c r="G277">
        <v>1</v>
      </c>
    </row>
    <row r="278" spans="1:7" x14ac:dyDescent="0.25">
      <c r="A278" s="1">
        <v>196</v>
      </c>
      <c r="B278" s="2" t="s">
        <v>4</v>
      </c>
      <c r="C278" s="3">
        <v>41</v>
      </c>
      <c r="D278" s="3">
        <v>45</v>
      </c>
      <c r="E278" s="6">
        <v>0</v>
      </c>
      <c r="F278">
        <v>0</v>
      </c>
      <c r="G278">
        <v>1</v>
      </c>
    </row>
    <row r="279" spans="1:7" x14ac:dyDescent="0.25">
      <c r="A279" s="1">
        <v>203</v>
      </c>
      <c r="B279" s="2" t="s">
        <v>4</v>
      </c>
      <c r="C279" s="3">
        <v>23</v>
      </c>
      <c r="D279" s="3">
        <v>22</v>
      </c>
      <c r="E279" s="6">
        <v>0</v>
      </c>
      <c r="F279">
        <v>0</v>
      </c>
      <c r="G279">
        <v>1</v>
      </c>
    </row>
    <row r="280" spans="1:7" x14ac:dyDescent="0.25">
      <c r="A280" s="1">
        <v>219</v>
      </c>
      <c r="B280" s="2" t="s">
        <v>4</v>
      </c>
      <c r="C280" s="3">
        <v>88</v>
      </c>
      <c r="D280" s="3">
        <v>33</v>
      </c>
      <c r="E280" s="6">
        <v>0</v>
      </c>
      <c r="F280">
        <v>0</v>
      </c>
      <c r="G280">
        <v>1</v>
      </c>
    </row>
    <row r="281" spans="1:7" x14ac:dyDescent="0.25">
      <c r="A281" s="1">
        <v>226</v>
      </c>
      <c r="B281" s="2" t="s">
        <v>4</v>
      </c>
      <c r="C281" s="3">
        <v>36</v>
      </c>
      <c r="D281" s="3">
        <v>31</v>
      </c>
      <c r="E281" s="6">
        <v>0</v>
      </c>
      <c r="F281">
        <v>0</v>
      </c>
      <c r="G281">
        <v>1</v>
      </c>
    </row>
    <row r="282" spans="1:7" x14ac:dyDescent="0.25">
      <c r="A282" s="1">
        <v>232</v>
      </c>
      <c r="B282" s="2" t="s">
        <v>4</v>
      </c>
      <c r="C282" s="3">
        <v>41</v>
      </c>
      <c r="D282" s="3">
        <v>46</v>
      </c>
      <c r="E282" s="6">
        <v>0</v>
      </c>
      <c r="F282">
        <v>0</v>
      </c>
      <c r="G282">
        <v>1</v>
      </c>
    </row>
    <row r="283" spans="1:7" x14ac:dyDescent="0.25">
      <c r="A283" s="1">
        <v>236</v>
      </c>
      <c r="B283" s="2" t="s">
        <v>4</v>
      </c>
      <c r="C283" s="3">
        <v>31</v>
      </c>
      <c r="D283" s="3">
        <v>18</v>
      </c>
      <c r="E283" s="6">
        <v>0</v>
      </c>
      <c r="F283">
        <v>0</v>
      </c>
      <c r="G283">
        <v>1</v>
      </c>
    </row>
    <row r="284" spans="1:7" x14ac:dyDescent="0.25">
      <c r="A284" s="1">
        <v>241</v>
      </c>
      <c r="B284" s="2" t="s">
        <v>4</v>
      </c>
      <c r="C284" s="3">
        <v>46</v>
      </c>
      <c r="D284" s="3">
        <v>23</v>
      </c>
      <c r="E284" s="6">
        <v>0</v>
      </c>
      <c r="F284">
        <v>0</v>
      </c>
      <c r="G284">
        <v>1</v>
      </c>
    </row>
    <row r="285" spans="1:7" x14ac:dyDescent="0.25">
      <c r="A285" s="1">
        <v>245</v>
      </c>
      <c r="B285" s="2" t="s">
        <v>4</v>
      </c>
      <c r="C285" s="3">
        <v>30</v>
      </c>
      <c r="D285" s="3">
        <v>41</v>
      </c>
      <c r="E285" s="6">
        <v>0</v>
      </c>
      <c r="F285">
        <v>0</v>
      </c>
      <c r="G285">
        <v>1</v>
      </c>
    </row>
    <row r="286" spans="1:7" x14ac:dyDescent="0.25">
      <c r="A286" s="1">
        <v>246</v>
      </c>
      <c r="B286" s="2" t="s">
        <v>4</v>
      </c>
      <c r="C286" s="3">
        <v>13</v>
      </c>
      <c r="D286" s="3">
        <v>15</v>
      </c>
      <c r="E286" s="6">
        <v>0</v>
      </c>
      <c r="F286">
        <v>0</v>
      </c>
      <c r="G286">
        <v>1</v>
      </c>
    </row>
    <row r="287" spans="1:7" x14ac:dyDescent="0.25">
      <c r="A287" s="1">
        <v>247</v>
      </c>
      <c r="B287" s="2" t="s">
        <v>4</v>
      </c>
      <c r="C287" s="3">
        <v>23</v>
      </c>
      <c r="D287" s="3">
        <v>20</v>
      </c>
      <c r="E287" s="6">
        <v>0</v>
      </c>
      <c r="F287">
        <v>0</v>
      </c>
      <c r="G287">
        <v>1</v>
      </c>
    </row>
    <row r="288" spans="1:7" x14ac:dyDescent="0.25">
      <c r="A288" s="1">
        <v>254</v>
      </c>
      <c r="B288" s="2" t="s">
        <v>4</v>
      </c>
      <c r="C288" s="3">
        <v>40</v>
      </c>
      <c r="D288" s="3">
        <v>23</v>
      </c>
      <c r="E288" s="6">
        <v>0</v>
      </c>
      <c r="F288">
        <v>0</v>
      </c>
      <c r="G288">
        <v>1</v>
      </c>
    </row>
    <row r="289" spans="1:7" x14ac:dyDescent="0.25">
      <c r="A289" s="1">
        <v>256</v>
      </c>
      <c r="B289" s="2" t="s">
        <v>4</v>
      </c>
      <c r="C289" s="3">
        <v>46</v>
      </c>
      <c r="D289" s="3">
        <v>42</v>
      </c>
      <c r="E289" s="6">
        <v>0</v>
      </c>
      <c r="F289">
        <v>0</v>
      </c>
      <c r="G289">
        <v>1</v>
      </c>
    </row>
    <row r="290" spans="1:7" x14ac:dyDescent="0.25">
      <c r="A290" s="1">
        <v>260</v>
      </c>
      <c r="B290" s="2" t="s">
        <v>4</v>
      </c>
      <c r="C290" s="3">
        <v>22</v>
      </c>
      <c r="D290" s="3">
        <v>29</v>
      </c>
      <c r="E290" s="6">
        <v>0</v>
      </c>
      <c r="F290">
        <v>0</v>
      </c>
      <c r="G290">
        <v>1</v>
      </c>
    </row>
    <row r="291" spans="1:7" x14ac:dyDescent="0.25">
      <c r="A291" s="1">
        <v>261</v>
      </c>
      <c r="B291" s="2" t="s">
        <v>4</v>
      </c>
      <c r="C291" s="3">
        <v>42</v>
      </c>
      <c r="D291" s="3">
        <v>18</v>
      </c>
      <c r="E291" s="6">
        <v>0</v>
      </c>
      <c r="F291">
        <v>0</v>
      </c>
      <c r="G291">
        <v>1</v>
      </c>
    </row>
    <row r="292" spans="1:7" x14ac:dyDescent="0.25">
      <c r="A292" s="1">
        <v>263</v>
      </c>
      <c r="B292" s="2" t="s">
        <v>4</v>
      </c>
      <c r="C292" s="3">
        <v>32</v>
      </c>
      <c r="D292" s="3">
        <v>15</v>
      </c>
      <c r="E292" s="6">
        <v>0</v>
      </c>
      <c r="F292">
        <v>0</v>
      </c>
      <c r="G292">
        <v>1</v>
      </c>
    </row>
    <row r="293" spans="1:7" x14ac:dyDescent="0.25">
      <c r="A293" s="1">
        <v>264</v>
      </c>
      <c r="B293" s="2" t="s">
        <v>4</v>
      </c>
      <c r="C293" s="3">
        <v>34</v>
      </c>
      <c r="D293" s="3">
        <v>30</v>
      </c>
      <c r="E293" s="6">
        <v>0</v>
      </c>
      <c r="F293">
        <v>0</v>
      </c>
      <c r="G293">
        <v>1</v>
      </c>
    </row>
    <row r="294" spans="1:7" x14ac:dyDescent="0.25">
      <c r="A294" s="1">
        <v>266</v>
      </c>
      <c r="B294" s="2" t="s">
        <v>4</v>
      </c>
      <c r="C294" s="3">
        <v>20</v>
      </c>
      <c r="D294" s="3">
        <v>33</v>
      </c>
      <c r="E294" s="6">
        <v>0</v>
      </c>
      <c r="F294">
        <v>0</v>
      </c>
      <c r="G294">
        <v>1</v>
      </c>
    </row>
    <row r="295" spans="1:7" x14ac:dyDescent="0.25">
      <c r="A295" s="1">
        <v>269</v>
      </c>
      <c r="B295" s="2" t="s">
        <v>4</v>
      </c>
      <c r="C295" s="3">
        <v>47</v>
      </c>
      <c r="D295" s="3">
        <v>20</v>
      </c>
      <c r="E295" s="6">
        <v>0</v>
      </c>
      <c r="F295">
        <v>0</v>
      </c>
      <c r="G295">
        <v>1</v>
      </c>
    </row>
    <row r="296" spans="1:7" x14ac:dyDescent="0.25">
      <c r="A296" s="1">
        <v>271</v>
      </c>
      <c r="B296" s="2" t="s">
        <v>4</v>
      </c>
      <c r="C296" s="3">
        <v>48</v>
      </c>
      <c r="D296" s="3">
        <v>23</v>
      </c>
      <c r="E296" s="6">
        <v>0</v>
      </c>
      <c r="F296">
        <v>0</v>
      </c>
      <c r="G296">
        <v>1</v>
      </c>
    </row>
    <row r="297" spans="1:7" x14ac:dyDescent="0.25">
      <c r="A297" s="1">
        <v>276</v>
      </c>
      <c r="B297" s="2" t="s">
        <v>4</v>
      </c>
      <c r="C297" s="3">
        <v>36</v>
      </c>
      <c r="D297" s="3">
        <v>21</v>
      </c>
      <c r="E297" s="6">
        <v>0</v>
      </c>
      <c r="F297">
        <v>0</v>
      </c>
      <c r="G297">
        <v>1</v>
      </c>
    </row>
    <row r="298" spans="1:7" x14ac:dyDescent="0.25">
      <c r="A298" s="1">
        <v>277</v>
      </c>
      <c r="B298" s="2" t="s">
        <v>4</v>
      </c>
      <c r="C298" s="3">
        <v>40</v>
      </c>
      <c r="D298" s="3">
        <v>31</v>
      </c>
      <c r="E298" s="6">
        <v>0</v>
      </c>
      <c r="F298">
        <v>0</v>
      </c>
      <c r="G298">
        <v>1</v>
      </c>
    </row>
    <row r="299" spans="1:7" x14ac:dyDescent="0.25">
      <c r="A299" s="1">
        <v>282</v>
      </c>
      <c r="B299" s="2" t="s">
        <v>4</v>
      </c>
      <c r="C299" s="3">
        <v>30</v>
      </c>
      <c r="D299" s="3">
        <v>21</v>
      </c>
      <c r="E299" s="6">
        <v>0</v>
      </c>
      <c r="F299">
        <v>0</v>
      </c>
      <c r="G299">
        <v>1</v>
      </c>
    </row>
    <row r="300" spans="1:7" x14ac:dyDescent="0.25">
      <c r="A300" s="1">
        <v>287</v>
      </c>
      <c r="B300" s="2" t="s">
        <v>4</v>
      </c>
      <c r="C300" s="3">
        <v>37</v>
      </c>
      <c r="D300" s="3">
        <v>35</v>
      </c>
      <c r="E300" s="6">
        <v>0</v>
      </c>
      <c r="F300">
        <v>0</v>
      </c>
      <c r="G300">
        <v>1</v>
      </c>
    </row>
    <row r="301" spans="1:7" x14ac:dyDescent="0.25">
      <c r="A301" s="1">
        <v>293</v>
      </c>
      <c r="B301" s="2" t="s">
        <v>4</v>
      </c>
      <c r="C301" s="3">
        <v>45</v>
      </c>
      <c r="D301" s="3">
        <v>32</v>
      </c>
      <c r="E301" s="6">
        <v>0</v>
      </c>
      <c r="F301">
        <v>0</v>
      </c>
      <c r="G301">
        <v>1</v>
      </c>
    </row>
  </sheetData>
  <autoFilter ref="A1:G301" xr:uid="{00000000-0001-0000-0000-000000000000}"/>
  <sortState xmlns:xlrd2="http://schemas.microsoft.com/office/spreadsheetml/2017/richdata2" ref="A2:G301">
    <sortCondition ref="G2:G301"/>
  </sortState>
  <phoneticPr fontId="0" type="noConversion"/>
  <printOptions headings="1" gridLines="1"/>
  <pageMargins left="0.75" right="0.75" top="1" bottom="1" header="0.5" footer="0.5"/>
  <pageSetup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G55"/>
  <sheetViews>
    <sheetView tabSelected="1" topLeftCell="E10" zoomScale="85" zoomScaleNormal="85" workbookViewId="0">
      <selection activeCell="X57" sqref="X57"/>
    </sheetView>
  </sheetViews>
  <sheetFormatPr defaultRowHeight="15.75" x14ac:dyDescent="0.25"/>
  <cols>
    <col min="1" max="1" width="9.625" style="6" bestFit="1" customWidth="1"/>
    <col min="2" max="9" width="9" style="6"/>
    <col min="10" max="10" width="10.375" style="6" bestFit="1" customWidth="1"/>
    <col min="11" max="11" width="16.25" style="6" customWidth="1"/>
    <col min="12" max="12" width="9" style="6"/>
    <col min="13" max="13" width="9.625" style="6" customWidth="1"/>
    <col min="14" max="14" width="9" style="6"/>
    <col min="15" max="15" width="10.25" style="6" customWidth="1"/>
    <col min="16" max="17" width="9" style="6"/>
    <col min="18" max="18" width="10.125" style="6" customWidth="1"/>
    <col min="19" max="19" width="11.5" style="6" customWidth="1"/>
    <col min="20" max="20" width="9" style="6"/>
    <col min="21" max="21" width="10.5" style="6" customWidth="1"/>
    <col min="22" max="16384" width="9" style="6"/>
  </cols>
  <sheetData>
    <row r="2" spans="1:33" ht="16.5" thickBot="1" x14ac:dyDescent="0.3">
      <c r="A2" s="26" t="s">
        <v>12</v>
      </c>
      <c r="B2" s="17"/>
      <c r="C2" s="17"/>
      <c r="D2" s="17"/>
      <c r="E2" s="17"/>
      <c r="F2" s="17"/>
      <c r="G2" s="17"/>
      <c r="H2" s="17"/>
      <c r="I2" s="17"/>
      <c r="J2" s="17"/>
      <c r="K2" s="27" t="s">
        <v>18</v>
      </c>
      <c r="L2" s="69"/>
      <c r="M2" s="69"/>
      <c r="N2" s="17"/>
      <c r="O2" s="17"/>
      <c r="P2" s="17"/>
      <c r="Q2" s="17"/>
      <c r="R2" s="17"/>
      <c r="S2" s="17"/>
      <c r="T2" s="28" t="s">
        <v>21</v>
      </c>
      <c r="U2" s="28"/>
      <c r="V2" s="28"/>
      <c r="W2" s="28"/>
      <c r="X2" s="17"/>
      <c r="Y2" s="17"/>
      <c r="Z2" s="17"/>
      <c r="AA2" s="17"/>
      <c r="AB2" s="17"/>
      <c r="AC2" s="17"/>
      <c r="AD2" s="17"/>
      <c r="AE2" s="17"/>
      <c r="AF2" s="17"/>
      <c r="AG2" s="17"/>
    </row>
    <row r="3" spans="1:33" ht="32.25" thickBot="1" x14ac:dyDescent="0.3">
      <c r="A3" s="29" t="s">
        <v>24</v>
      </c>
      <c r="B3" s="17" t="s">
        <v>11</v>
      </c>
      <c r="C3" s="17" t="s">
        <v>14</v>
      </c>
      <c r="D3" s="17"/>
      <c r="E3" s="17"/>
      <c r="F3" s="17"/>
      <c r="G3" s="17"/>
      <c r="H3" s="17"/>
      <c r="I3" s="17"/>
      <c r="J3" s="17"/>
      <c r="K3" s="30" t="s">
        <v>13</v>
      </c>
      <c r="L3" s="31" t="s">
        <v>2</v>
      </c>
      <c r="M3" s="31" t="s">
        <v>3</v>
      </c>
      <c r="N3" s="31" t="s">
        <v>4</v>
      </c>
      <c r="O3" s="17"/>
      <c r="P3" s="17"/>
      <c r="Q3" s="17"/>
      <c r="R3" s="17"/>
      <c r="S3" s="17"/>
      <c r="T3" s="32"/>
      <c r="U3" s="33"/>
      <c r="V3" s="33"/>
      <c r="W3" s="33"/>
      <c r="X3" s="33"/>
      <c r="Y3" s="33"/>
      <c r="Z3" s="33"/>
      <c r="AA3" s="33"/>
      <c r="AB3" s="34"/>
      <c r="AC3" s="17"/>
      <c r="AD3" s="17"/>
      <c r="AE3" s="16"/>
      <c r="AF3" s="16"/>
      <c r="AG3" s="16"/>
    </row>
    <row r="4" spans="1:33" ht="16.5" thickTop="1" x14ac:dyDescent="0.25">
      <c r="A4" s="14" t="s">
        <v>2</v>
      </c>
      <c r="B4" s="17">
        <f>COUNTIF('Data Part B'!B$2:B$301, A4)</f>
        <v>84</v>
      </c>
      <c r="C4" s="21">
        <f>B4/B$7</f>
        <v>0.28000000000000003</v>
      </c>
      <c r="D4" s="17"/>
      <c r="E4" s="17"/>
      <c r="F4" s="17"/>
      <c r="G4" s="35"/>
      <c r="H4" s="17"/>
      <c r="I4" s="17"/>
      <c r="J4" s="17"/>
      <c r="K4" s="6" t="s">
        <v>25</v>
      </c>
      <c r="L4" s="6">
        <v>19.821428571428573</v>
      </c>
      <c r="M4" s="6">
        <v>25.633333333333333</v>
      </c>
      <c r="N4" s="6">
        <v>35.015151515151516</v>
      </c>
      <c r="O4" s="17"/>
      <c r="P4" s="17"/>
      <c r="Q4" s="17"/>
      <c r="R4" s="17"/>
      <c r="S4" s="17"/>
      <c r="T4" s="36"/>
      <c r="U4" s="37"/>
      <c r="V4" s="37"/>
      <c r="W4" s="37"/>
      <c r="X4" s="37"/>
      <c r="Y4" s="37"/>
      <c r="Z4" s="37"/>
      <c r="AA4" s="37"/>
      <c r="AB4" s="38"/>
      <c r="AC4" s="17"/>
      <c r="AD4" s="17"/>
      <c r="AE4" s="16"/>
      <c r="AF4" s="16"/>
      <c r="AG4" s="16"/>
    </row>
    <row r="5" spans="1:33" x14ac:dyDescent="0.25">
      <c r="A5" s="14" t="s">
        <v>3</v>
      </c>
      <c r="B5" s="17">
        <f>COUNTIF('Data Part B'!B$2:B$301, A5)</f>
        <v>150</v>
      </c>
      <c r="C5" s="21">
        <f t="shared" ref="C5:C6" si="0">B5/B$7</f>
        <v>0.5</v>
      </c>
      <c r="D5" s="17"/>
      <c r="E5" s="17"/>
      <c r="F5" s="17"/>
      <c r="G5" s="35"/>
      <c r="H5" s="17"/>
      <c r="I5" s="17"/>
      <c r="J5" s="17"/>
      <c r="K5" s="6" t="s">
        <v>26</v>
      </c>
      <c r="L5" s="6">
        <v>0.89352241422872014</v>
      </c>
      <c r="M5" s="6">
        <v>0.67809554781109049</v>
      </c>
      <c r="N5" s="6">
        <v>1.29774637442278</v>
      </c>
      <c r="O5" s="17"/>
      <c r="P5" s="17"/>
      <c r="Q5" s="17"/>
      <c r="R5" s="17"/>
      <c r="S5" s="17"/>
      <c r="T5" s="36"/>
      <c r="U5" s="37"/>
      <c r="V5" s="37"/>
      <c r="W5" s="37"/>
      <c r="X5" s="37"/>
      <c r="Y5" s="37"/>
      <c r="Z5" s="37"/>
      <c r="AA5" s="37"/>
      <c r="AB5" s="38"/>
      <c r="AC5" s="17"/>
      <c r="AE5" s="16"/>
      <c r="AF5" s="16"/>
      <c r="AG5" s="16"/>
    </row>
    <row r="6" spans="1:33" x14ac:dyDescent="0.25">
      <c r="A6" s="15" t="s">
        <v>4</v>
      </c>
      <c r="B6" s="17">
        <f>COUNTIF('Data Part B'!B$2:B$301, A6)</f>
        <v>66</v>
      </c>
      <c r="C6" s="21">
        <f t="shared" si="0"/>
        <v>0.22</v>
      </c>
      <c r="D6" s="17"/>
      <c r="E6" s="17"/>
      <c r="F6" s="17"/>
      <c r="G6" s="35"/>
      <c r="H6" s="17"/>
      <c r="I6" s="17"/>
      <c r="J6" s="17"/>
      <c r="K6" s="6" t="s">
        <v>27</v>
      </c>
      <c r="L6" s="6">
        <v>19.5</v>
      </c>
      <c r="M6" s="6">
        <v>25</v>
      </c>
      <c r="N6" s="6">
        <v>34.5</v>
      </c>
      <c r="O6" s="17"/>
      <c r="P6" s="17"/>
      <c r="Q6" s="17"/>
      <c r="R6" s="17"/>
      <c r="S6" s="17"/>
      <c r="T6" s="36"/>
      <c r="U6" s="37"/>
      <c r="V6" s="37"/>
      <c r="W6" s="37"/>
      <c r="X6" s="37"/>
      <c r="Y6" s="37"/>
      <c r="Z6" s="37"/>
      <c r="AA6" s="37"/>
      <c r="AB6" s="38"/>
      <c r="AC6" s="17"/>
      <c r="AE6" s="16"/>
      <c r="AF6" s="16"/>
      <c r="AG6" s="16"/>
    </row>
    <row r="7" spans="1:33" x14ac:dyDescent="0.25">
      <c r="A7" s="17" t="s">
        <v>7</v>
      </c>
      <c r="B7" s="17">
        <f>SUM(B4:B6)</f>
        <v>300</v>
      </c>
      <c r="C7" s="21">
        <f>SUM(C4:C6)</f>
        <v>1</v>
      </c>
      <c r="D7" s="17"/>
      <c r="E7" s="17"/>
      <c r="F7" s="17"/>
      <c r="G7" s="17"/>
      <c r="H7" s="17"/>
      <c r="I7" s="17"/>
      <c r="J7" s="17"/>
      <c r="K7" s="6" t="s">
        <v>28</v>
      </c>
      <c r="L7" s="6">
        <v>20</v>
      </c>
      <c r="M7" s="6">
        <v>28</v>
      </c>
      <c r="N7" s="6">
        <v>32</v>
      </c>
      <c r="O7" s="17"/>
      <c r="P7" s="17"/>
      <c r="Q7" s="17"/>
      <c r="R7" s="17"/>
      <c r="S7" s="17"/>
      <c r="T7" s="36"/>
      <c r="U7" s="37"/>
      <c r="V7" s="37"/>
      <c r="W7" s="37"/>
      <c r="X7" s="37"/>
      <c r="Y7" s="37"/>
      <c r="Z7" s="37"/>
      <c r="AA7" s="37"/>
      <c r="AB7" s="38"/>
      <c r="AC7" s="17"/>
      <c r="AE7" s="16"/>
      <c r="AF7" s="16"/>
      <c r="AG7" s="16"/>
    </row>
    <row r="8" spans="1:33" x14ac:dyDescent="0.25">
      <c r="H8" s="17"/>
      <c r="I8" s="17"/>
      <c r="J8" s="17"/>
      <c r="K8" s="6" t="s">
        <v>29</v>
      </c>
      <c r="L8" s="6">
        <v>8.1892681966855942</v>
      </c>
      <c r="M8" s="6">
        <v>8.3049404449510309</v>
      </c>
      <c r="N8" s="6">
        <v>10.542941385287744</v>
      </c>
      <c r="O8" s="17"/>
      <c r="P8" s="17"/>
      <c r="Q8" s="17"/>
      <c r="R8" s="17"/>
      <c r="S8" s="17"/>
      <c r="T8" s="36"/>
      <c r="U8" s="37"/>
      <c r="V8" s="37"/>
      <c r="W8" s="37"/>
      <c r="X8" s="37"/>
      <c r="Y8" s="37"/>
      <c r="Z8" s="37"/>
      <c r="AA8" s="37"/>
      <c r="AB8" s="38"/>
      <c r="AC8" s="17"/>
      <c r="AE8" s="16"/>
      <c r="AF8" s="16"/>
      <c r="AG8" s="16"/>
    </row>
    <row r="9" spans="1:33" x14ac:dyDescent="0.25">
      <c r="A9" s="17"/>
      <c r="B9" s="17"/>
      <c r="C9" s="17"/>
      <c r="D9" s="17"/>
      <c r="E9" s="17"/>
      <c r="F9" s="17"/>
      <c r="G9" s="17"/>
      <c r="H9" s="17"/>
      <c r="I9" s="17"/>
      <c r="J9" s="17"/>
      <c r="K9" s="6" t="s">
        <v>30</v>
      </c>
      <c r="L9" s="6">
        <v>67.06411359724612</v>
      </c>
      <c r="M9" s="6">
        <v>68.972035794183412</v>
      </c>
      <c r="N9" s="6">
        <v>111.15361305361304</v>
      </c>
      <c r="O9" s="17"/>
      <c r="P9" s="17"/>
      <c r="Q9" s="17"/>
      <c r="R9" s="17"/>
      <c r="S9" s="17"/>
      <c r="T9" s="36"/>
      <c r="U9" s="37"/>
      <c r="V9" s="37"/>
      <c r="W9" s="37"/>
      <c r="X9" s="37"/>
      <c r="Y9" s="37"/>
      <c r="Z9" s="37"/>
      <c r="AA9" s="37"/>
      <c r="AB9" s="38"/>
      <c r="AC9" s="17"/>
      <c r="AE9" s="16"/>
      <c r="AF9" s="16"/>
      <c r="AG9" s="16"/>
    </row>
    <row r="10" spans="1:33" x14ac:dyDescent="0.25">
      <c r="A10" s="17"/>
      <c r="B10" s="17"/>
      <c r="C10" s="17"/>
      <c r="D10" s="17"/>
      <c r="E10" s="17"/>
      <c r="F10" s="17"/>
      <c r="G10" s="17"/>
      <c r="H10" s="17"/>
      <c r="I10" s="17"/>
      <c r="J10" s="17"/>
      <c r="K10" s="6" t="s">
        <v>31</v>
      </c>
      <c r="L10" s="6">
        <v>4.3627964583081198</v>
      </c>
      <c r="M10" s="6">
        <v>-0.55653400327243929</v>
      </c>
      <c r="N10" s="6">
        <v>8.6958789325807331</v>
      </c>
      <c r="O10" s="17"/>
      <c r="P10" s="17"/>
      <c r="Q10" s="17"/>
      <c r="R10" s="17"/>
      <c r="S10" s="17"/>
      <c r="T10" s="36"/>
      <c r="U10" s="37"/>
      <c r="V10" s="37"/>
      <c r="W10" s="37"/>
      <c r="X10" s="37"/>
      <c r="Y10" s="37"/>
      <c r="Z10" s="37"/>
      <c r="AA10" s="37"/>
      <c r="AB10" s="38"/>
      <c r="AC10" s="17"/>
      <c r="AE10" s="16"/>
      <c r="AF10" s="16"/>
      <c r="AG10" s="16"/>
    </row>
    <row r="11" spans="1:33" ht="16.5" thickBot="1" x14ac:dyDescent="0.3">
      <c r="A11" s="39" t="s">
        <v>15</v>
      </c>
      <c r="B11" s="17"/>
      <c r="C11" s="17"/>
      <c r="D11" s="17"/>
      <c r="E11" s="17"/>
      <c r="F11" s="17"/>
      <c r="G11" s="17"/>
      <c r="H11" s="17"/>
      <c r="I11" s="17"/>
      <c r="J11" s="17"/>
      <c r="K11" s="6" t="s">
        <v>32</v>
      </c>
      <c r="L11" s="6">
        <v>0.97871115824377697</v>
      </c>
      <c r="M11" s="6">
        <v>0.14486209932562613</v>
      </c>
      <c r="N11" s="6">
        <v>1.7328335466376712</v>
      </c>
      <c r="O11" s="17"/>
      <c r="P11" s="17"/>
      <c r="Q11" s="17"/>
      <c r="R11" s="17"/>
      <c r="S11" s="17"/>
      <c r="T11" s="36"/>
      <c r="U11" s="37"/>
      <c r="V11" s="37"/>
      <c r="W11" s="37"/>
      <c r="X11" s="37"/>
      <c r="Y11" s="37"/>
      <c r="Z11" s="37"/>
      <c r="AA11" s="37"/>
      <c r="AB11" s="38"/>
      <c r="AC11" s="17"/>
      <c r="AE11" s="16"/>
      <c r="AF11" s="16"/>
      <c r="AG11" s="16"/>
    </row>
    <row r="12" spans="1:33" x14ac:dyDescent="0.25">
      <c r="A12" s="32"/>
      <c r="B12" s="33"/>
      <c r="C12" s="33"/>
      <c r="D12" s="33"/>
      <c r="E12" s="33"/>
      <c r="F12" s="33"/>
      <c r="G12" s="33"/>
      <c r="H12" s="34"/>
      <c r="I12" s="17"/>
      <c r="J12" s="17"/>
      <c r="K12" s="6" t="s">
        <v>33</v>
      </c>
      <c r="L12" s="6">
        <v>60</v>
      </c>
      <c r="M12" s="6">
        <v>38</v>
      </c>
      <c r="N12" s="6">
        <v>75</v>
      </c>
      <c r="O12" s="17"/>
      <c r="P12" s="17"/>
      <c r="Q12" s="17"/>
      <c r="R12" s="17"/>
      <c r="S12" s="17"/>
      <c r="T12" s="36"/>
      <c r="U12" s="37"/>
      <c r="V12" s="37"/>
      <c r="W12" s="37"/>
      <c r="X12" s="37"/>
      <c r="Y12" s="37"/>
      <c r="Z12" s="37"/>
      <c r="AA12" s="37"/>
      <c r="AB12" s="38"/>
      <c r="AC12" s="17"/>
      <c r="AE12" s="16"/>
      <c r="AF12" s="16"/>
      <c r="AG12" s="16"/>
    </row>
    <row r="13" spans="1:33" x14ac:dyDescent="0.25">
      <c r="A13" s="36"/>
      <c r="B13" s="37"/>
      <c r="C13" s="37"/>
      <c r="D13" s="37"/>
      <c r="E13" s="37"/>
      <c r="F13" s="37"/>
      <c r="G13" s="37"/>
      <c r="H13" s="38"/>
      <c r="I13" s="17"/>
      <c r="J13" s="17"/>
      <c r="K13" s="6" t="s">
        <v>34</v>
      </c>
      <c r="L13" s="6">
        <v>-5</v>
      </c>
      <c r="M13" s="6">
        <v>10</v>
      </c>
      <c r="N13" s="6">
        <v>13</v>
      </c>
      <c r="O13" s="17"/>
      <c r="P13" s="17"/>
      <c r="Q13" s="17"/>
      <c r="R13" s="17"/>
      <c r="S13" s="17"/>
      <c r="T13" s="36"/>
      <c r="U13" s="37"/>
      <c r="V13" s="37"/>
      <c r="W13" s="37"/>
      <c r="X13" s="37"/>
      <c r="Y13" s="37"/>
      <c r="Z13" s="37"/>
      <c r="AA13" s="37"/>
      <c r="AB13" s="38"/>
      <c r="AC13" s="17"/>
      <c r="AE13" s="16"/>
      <c r="AF13" s="16"/>
      <c r="AG13" s="16"/>
    </row>
    <row r="14" spans="1:33" x14ac:dyDescent="0.25">
      <c r="A14" s="36"/>
      <c r="B14" s="37"/>
      <c r="C14" s="37"/>
      <c r="D14" s="37"/>
      <c r="E14" s="37"/>
      <c r="F14" s="37"/>
      <c r="G14" s="37"/>
      <c r="H14" s="38"/>
      <c r="I14" s="17"/>
      <c r="J14" s="17"/>
      <c r="K14" s="6" t="s">
        <v>35</v>
      </c>
      <c r="L14" s="6">
        <v>55</v>
      </c>
      <c r="M14" s="6">
        <v>48</v>
      </c>
      <c r="N14" s="6">
        <v>88</v>
      </c>
      <c r="O14" s="17"/>
      <c r="P14" s="17"/>
      <c r="Q14" s="17"/>
      <c r="R14" s="17"/>
      <c r="S14" s="17"/>
      <c r="T14" s="36"/>
      <c r="U14" s="37"/>
      <c r="V14" s="37"/>
      <c r="W14" s="37"/>
      <c r="X14" s="37"/>
      <c r="Y14" s="37"/>
      <c r="Z14" s="37"/>
      <c r="AA14" s="37"/>
      <c r="AB14" s="38"/>
      <c r="AC14" s="17"/>
      <c r="AE14" s="16"/>
      <c r="AF14" s="16"/>
      <c r="AG14" s="16"/>
    </row>
    <row r="15" spans="1:33" ht="16.5" thickBot="1" x14ac:dyDescent="0.3">
      <c r="A15" s="36"/>
      <c r="B15" s="37"/>
      <c r="C15" s="37"/>
      <c r="D15" s="37"/>
      <c r="E15" s="37"/>
      <c r="F15" s="37"/>
      <c r="G15" s="37"/>
      <c r="H15" s="38"/>
      <c r="I15" s="17"/>
      <c r="J15" s="17"/>
      <c r="K15" s="6" t="s">
        <v>36</v>
      </c>
      <c r="L15" s="6">
        <v>1665</v>
      </c>
      <c r="M15" s="6">
        <v>3845</v>
      </c>
      <c r="N15" s="6">
        <v>2311</v>
      </c>
      <c r="O15" s="17"/>
      <c r="P15" s="17"/>
      <c r="Q15" s="17"/>
      <c r="R15" s="17"/>
      <c r="S15" s="17"/>
      <c r="T15" s="40"/>
      <c r="U15" s="41"/>
      <c r="V15" s="41"/>
      <c r="W15" s="41"/>
      <c r="X15" s="41"/>
      <c r="Y15" s="41"/>
      <c r="Z15" s="41"/>
      <c r="AA15" s="41"/>
      <c r="AB15" s="42"/>
      <c r="AC15" s="17"/>
    </row>
    <row r="16" spans="1:33" ht="16.5" thickBot="1" x14ac:dyDescent="0.3">
      <c r="A16" s="36"/>
      <c r="B16" s="37"/>
      <c r="C16" s="37"/>
      <c r="D16" s="37"/>
      <c r="E16" s="37"/>
      <c r="F16" s="37"/>
      <c r="G16" s="37"/>
      <c r="H16" s="38"/>
      <c r="I16" s="17"/>
      <c r="K16" s="23" t="s">
        <v>37</v>
      </c>
      <c r="L16" s="23">
        <v>84</v>
      </c>
      <c r="M16" s="23">
        <v>150</v>
      </c>
      <c r="N16" s="23">
        <v>66</v>
      </c>
      <c r="S16" s="17"/>
      <c r="T16" s="17"/>
      <c r="U16" s="17"/>
      <c r="V16" s="17"/>
      <c r="W16" s="17"/>
      <c r="X16" s="17"/>
      <c r="Y16" s="17"/>
      <c r="Z16" s="17"/>
      <c r="AA16" s="17"/>
      <c r="AB16" s="17"/>
      <c r="AC16" s="17"/>
    </row>
    <row r="17" spans="1:21" ht="15.6" customHeight="1" x14ac:dyDescent="0.25">
      <c r="A17" s="36"/>
      <c r="B17" s="37"/>
      <c r="C17" s="37"/>
      <c r="D17" s="37"/>
      <c r="E17" s="37"/>
      <c r="F17" s="37"/>
      <c r="G17" s="37"/>
      <c r="H17" s="38"/>
      <c r="I17" s="17"/>
      <c r="J17" s="17"/>
      <c r="M17" s="17"/>
      <c r="N17" s="17"/>
      <c r="O17" s="17"/>
      <c r="P17" s="17"/>
      <c r="Q17" s="17"/>
      <c r="R17" s="17"/>
    </row>
    <row r="18" spans="1:21" ht="47.25" x14ac:dyDescent="0.25">
      <c r="A18" s="36"/>
      <c r="B18" s="37"/>
      <c r="C18" s="37"/>
      <c r="D18" s="37"/>
      <c r="E18" s="37"/>
      <c r="F18" s="37"/>
      <c r="G18" s="37"/>
      <c r="H18" s="38"/>
      <c r="I18" s="17"/>
      <c r="J18" s="57"/>
      <c r="K18" s="65" t="s">
        <v>37</v>
      </c>
      <c r="L18" s="65">
        <v>300</v>
      </c>
      <c r="M18" s="58"/>
      <c r="N18" s="58"/>
      <c r="O18" s="59"/>
      <c r="P18" s="60" t="s">
        <v>16</v>
      </c>
      <c r="Q18" s="61"/>
      <c r="R18" s="59"/>
      <c r="S18" s="62" t="s">
        <v>17</v>
      </c>
      <c r="T18" s="63"/>
      <c r="U18" s="64"/>
    </row>
    <row r="19" spans="1:21" x14ac:dyDescent="0.25">
      <c r="A19" s="36"/>
      <c r="B19" s="37"/>
      <c r="C19" s="37"/>
      <c r="D19" s="37"/>
      <c r="E19" s="37"/>
      <c r="F19" s="37"/>
      <c r="G19" s="37"/>
      <c r="H19" s="38"/>
      <c r="I19" s="17"/>
      <c r="J19" s="48" t="s">
        <v>8</v>
      </c>
      <c r="K19" s="48" t="s">
        <v>9</v>
      </c>
      <c r="L19" s="48" t="s">
        <v>10</v>
      </c>
      <c r="M19" s="48" t="s">
        <v>4</v>
      </c>
      <c r="N19" s="48" t="s">
        <v>2</v>
      </c>
      <c r="O19" s="49" t="s">
        <v>3</v>
      </c>
      <c r="P19" s="48" t="s">
        <v>4</v>
      </c>
      <c r="Q19" s="48" t="s">
        <v>2</v>
      </c>
      <c r="R19" s="49" t="s">
        <v>3</v>
      </c>
      <c r="S19" s="48" t="s">
        <v>4</v>
      </c>
      <c r="T19" s="48" t="s">
        <v>2</v>
      </c>
      <c r="U19" s="49" t="s">
        <v>3</v>
      </c>
    </row>
    <row r="20" spans="1:21" x14ac:dyDescent="0.25">
      <c r="A20" s="36"/>
      <c r="B20" s="37"/>
      <c r="C20" s="37"/>
      <c r="D20" s="37"/>
      <c r="E20" s="37"/>
      <c r="F20" s="37"/>
      <c r="G20" s="37"/>
      <c r="H20" s="38"/>
      <c r="I20" s="17"/>
      <c r="J20" s="51">
        <v>-15</v>
      </c>
      <c r="K20" s="51">
        <v>-5</v>
      </c>
      <c r="L20" s="51">
        <v>-10</v>
      </c>
      <c r="M20" s="53">
        <v>0</v>
      </c>
      <c r="N20" s="53">
        <v>1</v>
      </c>
      <c r="O20" s="53">
        <v>0</v>
      </c>
      <c r="P20" s="54">
        <f>M20/M$31</f>
        <v>0</v>
      </c>
      <c r="Q20" s="54">
        <f t="shared" ref="Q20:R30" si="1">N20/N$31</f>
        <v>1.1904761904761904E-2</v>
      </c>
      <c r="R20" s="54">
        <f t="shared" si="1"/>
        <v>0</v>
      </c>
      <c r="S20" s="55">
        <f>SUM(P$20:P20)</f>
        <v>0</v>
      </c>
      <c r="T20" s="55">
        <f>SUM(Q$20:Q20)</f>
        <v>1.1904761904761904E-2</v>
      </c>
      <c r="U20" s="55">
        <f>SUM(R$20:R20)</f>
        <v>0</v>
      </c>
    </row>
    <row r="21" spans="1:21" x14ac:dyDescent="0.25">
      <c r="A21" s="36"/>
      <c r="B21" s="37"/>
      <c r="C21" s="37"/>
      <c r="D21" s="37"/>
      <c r="E21" s="37"/>
      <c r="F21" s="37"/>
      <c r="G21" s="37"/>
      <c r="H21" s="38"/>
      <c r="I21" s="17"/>
      <c r="J21" s="51">
        <v>-5</v>
      </c>
      <c r="K21" s="51">
        <v>5</v>
      </c>
      <c r="L21" s="52">
        <v>0</v>
      </c>
      <c r="M21" s="53">
        <v>0</v>
      </c>
      <c r="N21" s="53">
        <v>0</v>
      </c>
      <c r="O21" s="53">
        <v>0</v>
      </c>
      <c r="P21" s="54">
        <f t="shared" ref="P21:P30" si="2">M21/M$31</f>
        <v>0</v>
      </c>
      <c r="Q21" s="54">
        <f t="shared" si="1"/>
        <v>0</v>
      </c>
      <c r="R21" s="54">
        <f t="shared" si="1"/>
        <v>0</v>
      </c>
      <c r="S21" s="55">
        <f>SUM(P$20:P21)</f>
        <v>0</v>
      </c>
      <c r="T21" s="55">
        <f>SUM(Q$20:Q21)</f>
        <v>1.1904761904761904E-2</v>
      </c>
      <c r="U21" s="55">
        <f>SUM(R$20:R21)</f>
        <v>0</v>
      </c>
    </row>
    <row r="22" spans="1:21" x14ac:dyDescent="0.25">
      <c r="A22" s="36"/>
      <c r="B22" s="37"/>
      <c r="C22" s="37"/>
      <c r="D22" s="37"/>
      <c r="E22" s="37"/>
      <c r="F22" s="37"/>
      <c r="G22" s="37"/>
      <c r="H22" s="38"/>
      <c r="I22" s="17"/>
      <c r="J22" s="51">
        <v>5</v>
      </c>
      <c r="K22" s="51">
        <v>15</v>
      </c>
      <c r="L22" s="51">
        <v>10</v>
      </c>
      <c r="M22" s="53">
        <v>1</v>
      </c>
      <c r="N22" s="53">
        <v>23</v>
      </c>
      <c r="O22" s="53">
        <v>20</v>
      </c>
      <c r="P22" s="54">
        <f t="shared" si="2"/>
        <v>1.5151515151515152E-2</v>
      </c>
      <c r="Q22" s="54">
        <f t="shared" si="1"/>
        <v>0.27380952380952384</v>
      </c>
      <c r="R22" s="54">
        <f t="shared" si="1"/>
        <v>0.13333333333333333</v>
      </c>
      <c r="S22" s="55">
        <f>SUM(P$20:P22)</f>
        <v>1.5151515151515152E-2</v>
      </c>
      <c r="T22" s="55">
        <f>SUM(Q$20:Q22)</f>
        <v>0.28571428571428575</v>
      </c>
      <c r="U22" s="55">
        <f>SUM(R$20:R22)</f>
        <v>0.13333333333333333</v>
      </c>
    </row>
    <row r="23" spans="1:21" x14ac:dyDescent="0.25">
      <c r="A23" s="36"/>
      <c r="B23" s="37"/>
      <c r="C23" s="37"/>
      <c r="D23" s="37"/>
      <c r="E23" s="37"/>
      <c r="F23" s="37"/>
      <c r="G23" s="37"/>
      <c r="H23" s="38"/>
      <c r="I23" s="17"/>
      <c r="J23" s="51">
        <v>15</v>
      </c>
      <c r="K23" s="51">
        <v>25</v>
      </c>
      <c r="L23" s="52">
        <v>20</v>
      </c>
      <c r="M23" s="53">
        <v>9</v>
      </c>
      <c r="N23" s="53">
        <v>40</v>
      </c>
      <c r="O23" s="53">
        <v>56</v>
      </c>
      <c r="P23" s="54">
        <f t="shared" si="2"/>
        <v>0.13636363636363635</v>
      </c>
      <c r="Q23" s="54">
        <f t="shared" si="1"/>
        <v>0.47619047619047616</v>
      </c>
      <c r="R23" s="54">
        <f t="shared" si="1"/>
        <v>0.37333333333333335</v>
      </c>
      <c r="S23" s="55">
        <f>SUM(P$20:P23)</f>
        <v>0.15151515151515149</v>
      </c>
      <c r="T23" s="55">
        <f>SUM(Q$20:Q23)</f>
        <v>0.76190476190476186</v>
      </c>
      <c r="U23" s="55">
        <f>SUM(R$20:R23)</f>
        <v>0.50666666666666671</v>
      </c>
    </row>
    <row r="24" spans="1:21" x14ac:dyDescent="0.25">
      <c r="A24" s="36"/>
      <c r="B24" s="37"/>
      <c r="C24" s="37"/>
      <c r="D24" s="37"/>
      <c r="E24" s="37"/>
      <c r="F24" s="37"/>
      <c r="G24" s="37"/>
      <c r="H24" s="38"/>
      <c r="I24" s="17"/>
      <c r="J24" s="51">
        <v>25</v>
      </c>
      <c r="K24" s="51">
        <v>35</v>
      </c>
      <c r="L24" s="51">
        <v>30</v>
      </c>
      <c r="M24" s="53">
        <v>26</v>
      </c>
      <c r="N24" s="53">
        <v>17</v>
      </c>
      <c r="O24" s="53">
        <v>56</v>
      </c>
      <c r="P24" s="54">
        <f t="shared" si="2"/>
        <v>0.39393939393939392</v>
      </c>
      <c r="Q24" s="54">
        <f t="shared" si="1"/>
        <v>0.20238095238095238</v>
      </c>
      <c r="R24" s="54">
        <f t="shared" si="1"/>
        <v>0.37333333333333335</v>
      </c>
      <c r="S24" s="55">
        <f>SUM(P$20:P24)</f>
        <v>0.54545454545454541</v>
      </c>
      <c r="T24" s="55">
        <f>SUM(Q$20:Q24)</f>
        <v>0.96428571428571419</v>
      </c>
      <c r="U24" s="55">
        <f>SUM(R$20:R24)</f>
        <v>0.88000000000000012</v>
      </c>
    </row>
    <row r="25" spans="1:21" x14ac:dyDescent="0.25">
      <c r="A25" s="36"/>
      <c r="B25" s="37"/>
      <c r="C25" s="37"/>
      <c r="D25" s="37"/>
      <c r="E25" s="37"/>
      <c r="F25" s="37"/>
      <c r="G25" s="37"/>
      <c r="H25" s="38"/>
      <c r="I25" s="17"/>
      <c r="J25" s="51">
        <v>35</v>
      </c>
      <c r="K25" s="51">
        <v>45</v>
      </c>
      <c r="L25" s="52">
        <v>40</v>
      </c>
      <c r="M25" s="53">
        <v>22</v>
      </c>
      <c r="N25" s="53">
        <v>2</v>
      </c>
      <c r="O25" s="53">
        <v>17</v>
      </c>
      <c r="P25" s="54">
        <f t="shared" si="2"/>
        <v>0.33333333333333331</v>
      </c>
      <c r="Q25" s="54">
        <f t="shared" si="1"/>
        <v>2.3809523809523808E-2</v>
      </c>
      <c r="R25" s="54">
        <f t="shared" si="1"/>
        <v>0.11333333333333333</v>
      </c>
      <c r="S25" s="55">
        <f>SUM(P$20:P25)</f>
        <v>0.87878787878787867</v>
      </c>
      <c r="T25" s="55">
        <f>SUM(Q$20:Q25)</f>
        <v>0.98809523809523803</v>
      </c>
      <c r="U25" s="55">
        <f>SUM(R$20:R25)</f>
        <v>0.9933333333333334</v>
      </c>
    </row>
    <row r="26" spans="1:21" x14ac:dyDescent="0.25">
      <c r="A26" s="36"/>
      <c r="B26" s="37"/>
      <c r="C26" s="37"/>
      <c r="D26" s="37"/>
      <c r="E26" s="37"/>
      <c r="F26" s="37"/>
      <c r="G26" s="37"/>
      <c r="H26" s="38"/>
      <c r="I26" s="17"/>
      <c r="J26" s="51">
        <v>45</v>
      </c>
      <c r="K26" s="51">
        <v>55</v>
      </c>
      <c r="L26" s="51">
        <v>50</v>
      </c>
      <c r="M26" s="53">
        <v>7</v>
      </c>
      <c r="N26" s="53">
        <v>1</v>
      </c>
      <c r="O26" s="53">
        <v>1</v>
      </c>
      <c r="P26" s="54">
        <f t="shared" si="2"/>
        <v>0.10606060606060606</v>
      </c>
      <c r="Q26" s="54">
        <f t="shared" si="1"/>
        <v>1.1904761904761904E-2</v>
      </c>
      <c r="R26" s="54">
        <f t="shared" si="1"/>
        <v>6.6666666666666671E-3</v>
      </c>
      <c r="S26" s="55">
        <f>SUM(P$20:P26)</f>
        <v>0.98484848484848475</v>
      </c>
      <c r="T26" s="55">
        <f>SUM(Q$20:Q26)</f>
        <v>0.99999999999999989</v>
      </c>
      <c r="U26" s="55">
        <f>SUM(R$20:R26)</f>
        <v>1</v>
      </c>
    </row>
    <row r="27" spans="1:21" ht="16.5" thickBot="1" x14ac:dyDescent="0.3">
      <c r="A27" s="40"/>
      <c r="B27" s="41"/>
      <c r="C27" s="41"/>
      <c r="D27" s="41"/>
      <c r="E27" s="41"/>
      <c r="F27" s="41"/>
      <c r="G27" s="41"/>
      <c r="H27" s="42"/>
      <c r="I27" s="17"/>
      <c r="J27" s="51">
        <v>55</v>
      </c>
      <c r="K27" s="51">
        <v>65</v>
      </c>
      <c r="L27" s="52">
        <v>60</v>
      </c>
      <c r="M27" s="53">
        <v>0</v>
      </c>
      <c r="N27" s="53">
        <v>0</v>
      </c>
      <c r="O27" s="53">
        <v>0</v>
      </c>
      <c r="P27" s="54">
        <f t="shared" si="2"/>
        <v>0</v>
      </c>
      <c r="Q27" s="54">
        <f t="shared" si="1"/>
        <v>0</v>
      </c>
      <c r="R27" s="54">
        <f t="shared" si="1"/>
        <v>0</v>
      </c>
      <c r="S27" s="55">
        <f>SUM(P$20:P27)</f>
        <v>0.98484848484848475</v>
      </c>
      <c r="T27" s="55">
        <f>SUM(Q$20:Q27)</f>
        <v>0.99999999999999989</v>
      </c>
      <c r="U27" s="55">
        <f>SUM(R$20:R27)</f>
        <v>1</v>
      </c>
    </row>
    <row r="28" spans="1:21" x14ac:dyDescent="0.25">
      <c r="A28" s="17"/>
      <c r="B28" s="17"/>
      <c r="C28" s="17"/>
      <c r="D28" s="17"/>
      <c r="E28" s="17"/>
      <c r="F28" s="17"/>
      <c r="G28" s="17"/>
      <c r="H28" s="17"/>
      <c r="I28" s="17"/>
      <c r="J28" s="51">
        <v>65</v>
      </c>
      <c r="K28" s="51">
        <v>75</v>
      </c>
      <c r="L28" s="51">
        <v>70</v>
      </c>
      <c r="M28" s="53">
        <v>0</v>
      </c>
      <c r="N28" s="53">
        <v>0</v>
      </c>
      <c r="O28" s="53">
        <v>0</v>
      </c>
      <c r="P28" s="54">
        <f t="shared" si="2"/>
        <v>0</v>
      </c>
      <c r="Q28" s="54">
        <f t="shared" si="1"/>
        <v>0</v>
      </c>
      <c r="R28" s="54">
        <f t="shared" si="1"/>
        <v>0</v>
      </c>
      <c r="S28" s="55">
        <f>SUM(P$20:P28)</f>
        <v>0.98484848484848475</v>
      </c>
      <c r="T28" s="55">
        <f>SUM(Q$20:Q28)</f>
        <v>0.99999999999999989</v>
      </c>
      <c r="U28" s="55">
        <f>SUM(R$20:R28)</f>
        <v>1</v>
      </c>
    </row>
    <row r="29" spans="1:21" x14ac:dyDescent="0.25">
      <c r="A29" s="17"/>
      <c r="B29" s="17"/>
      <c r="C29" s="17"/>
      <c r="D29" s="17"/>
      <c r="E29" s="17"/>
      <c r="F29" s="17"/>
      <c r="G29" s="17"/>
      <c r="H29" s="17"/>
      <c r="I29" s="17"/>
      <c r="J29" s="51">
        <v>75</v>
      </c>
      <c r="K29" s="51">
        <v>85</v>
      </c>
      <c r="L29" s="52">
        <v>80</v>
      </c>
      <c r="M29" s="53">
        <v>0</v>
      </c>
      <c r="N29" s="53">
        <v>0</v>
      </c>
      <c r="O29" s="53">
        <v>0</v>
      </c>
      <c r="P29" s="54">
        <f t="shared" si="2"/>
        <v>0</v>
      </c>
      <c r="Q29" s="54">
        <f t="shared" si="1"/>
        <v>0</v>
      </c>
      <c r="R29" s="54">
        <f t="shared" si="1"/>
        <v>0</v>
      </c>
      <c r="S29" s="55">
        <f>SUM(P$20:P29)</f>
        <v>0.98484848484848475</v>
      </c>
      <c r="T29" s="55">
        <f>SUM(Q$20:Q29)</f>
        <v>0.99999999999999989</v>
      </c>
      <c r="U29" s="55">
        <f>SUM(R$20:R29)</f>
        <v>1</v>
      </c>
    </row>
    <row r="30" spans="1:21" x14ac:dyDescent="0.25">
      <c r="A30" s="17"/>
      <c r="B30" s="17"/>
      <c r="C30" s="17"/>
      <c r="D30" s="17"/>
      <c r="E30" s="17"/>
      <c r="F30" s="17"/>
      <c r="G30" s="17"/>
      <c r="H30" s="17"/>
      <c r="I30" s="17"/>
      <c r="J30" s="50">
        <v>85</v>
      </c>
      <c r="K30" s="50">
        <v>95</v>
      </c>
      <c r="L30" s="50">
        <v>90</v>
      </c>
      <c r="M30" s="56">
        <v>1</v>
      </c>
      <c r="N30" s="56">
        <v>0</v>
      </c>
      <c r="O30" s="56">
        <v>0</v>
      </c>
      <c r="P30" s="68">
        <f t="shared" si="2"/>
        <v>1.5151515151515152E-2</v>
      </c>
      <c r="Q30" s="68">
        <f t="shared" si="1"/>
        <v>0</v>
      </c>
      <c r="R30" s="68">
        <f t="shared" si="1"/>
        <v>0</v>
      </c>
      <c r="S30" s="67">
        <f>SUM(P$20:P30)</f>
        <v>0.99999999999999989</v>
      </c>
      <c r="T30" s="67">
        <f>SUM(Q$20:Q30)</f>
        <v>0.99999999999999989</v>
      </c>
      <c r="U30" s="67">
        <f>SUM(R$20:R30)</f>
        <v>1</v>
      </c>
    </row>
    <row r="31" spans="1:21" x14ac:dyDescent="0.25">
      <c r="A31" s="17"/>
      <c r="B31" s="17"/>
      <c r="C31" s="17"/>
      <c r="D31" s="17"/>
      <c r="G31" s="17"/>
      <c r="H31" s="17"/>
      <c r="I31" s="17"/>
      <c r="J31" s="50"/>
      <c r="K31" s="50"/>
      <c r="L31" s="66"/>
      <c r="M31" s="56">
        <f>SUM(M20:M30)</f>
        <v>66</v>
      </c>
      <c r="N31" s="66">
        <f>SUM(N20:N30)</f>
        <v>84</v>
      </c>
      <c r="O31" s="66">
        <f>SUM(O20:O30)</f>
        <v>150</v>
      </c>
      <c r="P31" s="67">
        <f t="shared" ref="P31:R31" si="3">SUM(P20:P30)</f>
        <v>0.99999999999999989</v>
      </c>
      <c r="Q31" s="67">
        <f t="shared" si="3"/>
        <v>0.99999999999999989</v>
      </c>
      <c r="R31" s="67">
        <f t="shared" si="3"/>
        <v>1</v>
      </c>
      <c r="S31" s="67">
        <f>S30</f>
        <v>0.99999999999999989</v>
      </c>
      <c r="T31" s="67">
        <f>T30</f>
        <v>0.99999999999999989</v>
      </c>
      <c r="U31" s="67">
        <f>U30</f>
        <v>1</v>
      </c>
    </row>
    <row r="32" spans="1:21" x14ac:dyDescent="0.25">
      <c r="A32" s="17"/>
      <c r="B32" s="43"/>
      <c r="C32" s="17"/>
      <c r="D32" s="17"/>
      <c r="E32" s="24"/>
      <c r="G32" s="17"/>
      <c r="H32" s="17"/>
      <c r="I32" s="17"/>
      <c r="J32" s="17"/>
      <c r="K32" s="17"/>
      <c r="L32" s="22"/>
      <c r="M32" s="20"/>
      <c r="N32" s="20"/>
      <c r="O32" s="20"/>
      <c r="P32" s="20"/>
      <c r="Q32" s="22"/>
      <c r="R32" s="22"/>
      <c r="U32" s="47"/>
    </row>
    <row r="33" spans="2:18" x14ac:dyDescent="0.25">
      <c r="B33" s="18"/>
      <c r="C33" s="19"/>
      <c r="D33" s="19"/>
      <c r="E33" s="24"/>
      <c r="G33" s="19"/>
      <c r="H33" s="17"/>
      <c r="I33" s="17"/>
      <c r="J33" s="17"/>
      <c r="K33" s="17"/>
      <c r="L33" s="22"/>
      <c r="M33" s="22"/>
      <c r="N33" s="22"/>
      <c r="O33" s="44"/>
      <c r="P33" s="44"/>
      <c r="Q33" s="22"/>
      <c r="R33" s="22"/>
    </row>
    <row r="34" spans="2:18" x14ac:dyDescent="0.25">
      <c r="B34" s="17"/>
      <c r="C34" s="17"/>
      <c r="D34" s="17"/>
      <c r="E34" s="24"/>
      <c r="G34" s="17"/>
      <c r="H34" s="17"/>
      <c r="I34" s="17"/>
      <c r="J34" s="17"/>
      <c r="K34" s="17"/>
      <c r="L34" s="22"/>
      <c r="M34" s="22"/>
      <c r="N34" s="22"/>
      <c r="O34" s="44"/>
      <c r="P34" s="44"/>
      <c r="Q34" s="22"/>
      <c r="R34" s="22"/>
    </row>
    <row r="35" spans="2:18" x14ac:dyDescent="0.25">
      <c r="B35" s="17"/>
      <c r="C35" s="17"/>
      <c r="D35" s="17"/>
      <c r="E35" s="24"/>
      <c r="G35" s="17"/>
      <c r="H35" s="17"/>
      <c r="I35" s="17"/>
      <c r="J35" s="45" t="s">
        <v>20</v>
      </c>
      <c r="K35" s="17"/>
      <c r="L35" s="17"/>
      <c r="M35" s="17"/>
      <c r="N35" s="17"/>
      <c r="O35" s="17"/>
      <c r="P35" s="17"/>
      <c r="Q35" s="17"/>
      <c r="R35" s="17"/>
    </row>
    <row r="36" spans="2:18" x14ac:dyDescent="0.25">
      <c r="B36" s="17"/>
      <c r="C36" s="17"/>
      <c r="D36" s="17"/>
      <c r="E36" s="24"/>
      <c r="G36" s="17"/>
      <c r="H36" s="17"/>
      <c r="I36" s="17"/>
      <c r="L36" s="17"/>
      <c r="M36" s="17"/>
      <c r="N36" s="17"/>
      <c r="O36" s="17"/>
      <c r="P36" s="17"/>
      <c r="Q36" s="17"/>
      <c r="R36" s="17"/>
    </row>
    <row r="37" spans="2:18" x14ac:dyDescent="0.25">
      <c r="B37" s="17"/>
      <c r="C37" s="17"/>
      <c r="D37" s="17"/>
      <c r="E37" s="24"/>
      <c r="G37" s="17"/>
      <c r="H37" s="17"/>
      <c r="I37" s="17"/>
      <c r="L37" s="17"/>
      <c r="M37" s="17"/>
      <c r="N37" s="17"/>
      <c r="O37" s="17"/>
      <c r="P37" s="17"/>
      <c r="Q37" s="17"/>
      <c r="R37" s="17"/>
    </row>
    <row r="38" spans="2:18" x14ac:dyDescent="0.25">
      <c r="E38" s="24"/>
      <c r="J38" s="46"/>
    </row>
    <row r="39" spans="2:18" x14ac:dyDescent="0.25">
      <c r="B39" s="43"/>
      <c r="C39" s="17"/>
      <c r="D39" s="17"/>
      <c r="E39" s="24"/>
      <c r="G39" s="17"/>
      <c r="H39" s="17"/>
      <c r="I39" s="17"/>
      <c r="J39" s="46"/>
      <c r="L39" s="17"/>
      <c r="M39" s="17"/>
      <c r="N39" s="17"/>
      <c r="O39" s="17"/>
      <c r="P39" s="17"/>
      <c r="Q39" s="17"/>
      <c r="R39" s="17"/>
    </row>
    <row r="40" spans="2:18" x14ac:dyDescent="0.25">
      <c r="E40" s="24"/>
      <c r="J40" s="46"/>
    </row>
    <row r="41" spans="2:18" x14ac:dyDescent="0.25">
      <c r="E41" s="24"/>
      <c r="J41" s="46"/>
    </row>
    <row r="42" spans="2:18" x14ac:dyDescent="0.25">
      <c r="E42" s="24"/>
      <c r="K42" s="17"/>
    </row>
    <row r="43" spans="2:18" x14ac:dyDescent="0.25">
      <c r="K43" s="17"/>
    </row>
    <row r="45" spans="2:18" x14ac:dyDescent="0.25">
      <c r="K45" s="17"/>
    </row>
    <row r="46" spans="2:18" x14ac:dyDescent="0.25">
      <c r="B46" s="17"/>
      <c r="C46" s="17"/>
      <c r="D46" s="17"/>
      <c r="E46" s="17"/>
      <c r="F46" s="17"/>
      <c r="G46" s="17"/>
      <c r="H46" s="17"/>
      <c r="I46" s="17"/>
      <c r="J46" s="17"/>
      <c r="K46" s="35"/>
      <c r="L46" s="17"/>
      <c r="M46" s="17"/>
      <c r="N46" s="17"/>
      <c r="O46" s="17"/>
      <c r="P46" s="17"/>
      <c r="Q46" s="17"/>
      <c r="R46" s="17"/>
    </row>
    <row r="47" spans="2:18" x14ac:dyDescent="0.25">
      <c r="B47" s="17"/>
      <c r="C47" s="17"/>
      <c r="D47" s="17"/>
      <c r="E47" s="17"/>
      <c r="F47" s="17"/>
      <c r="G47" s="17"/>
      <c r="H47" s="17"/>
      <c r="I47" s="17"/>
      <c r="K47" s="35"/>
      <c r="L47" s="17"/>
      <c r="Q47" s="17"/>
      <c r="R47" s="17"/>
    </row>
    <row r="48" spans="2:18" x14ac:dyDescent="0.25">
      <c r="B48" s="17"/>
      <c r="C48" s="17"/>
      <c r="D48" s="17"/>
      <c r="E48" s="17"/>
      <c r="F48" s="17"/>
      <c r="G48" s="17"/>
      <c r="H48" s="17"/>
      <c r="I48" s="17"/>
      <c r="J48" s="25" t="s">
        <v>19</v>
      </c>
      <c r="K48" s="35"/>
      <c r="L48" s="17"/>
      <c r="Q48" s="17"/>
      <c r="R48" s="17"/>
    </row>
    <row r="49" spans="10:11" x14ac:dyDescent="0.25">
      <c r="K49" s="35"/>
    </row>
    <row r="55" spans="10:11" x14ac:dyDescent="0.25">
      <c r="J55" s="6" t="s">
        <v>23</v>
      </c>
    </row>
  </sheetData>
  <sortState xmlns:xlrd2="http://schemas.microsoft.com/office/spreadsheetml/2017/richdata2" ref="E32:E42">
    <sortCondition ref="E32"/>
  </sortState>
  <mergeCells count="1">
    <mergeCell ref="L2:M2"/>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tudents xmlns="b1d1c72f-716d-4cc6-84ca-0b0b85e82bb2">
      <UserInfo>
        <DisplayName/>
        <AccountId xsi:nil="true"/>
        <AccountType/>
      </UserInfo>
    </Students>
    <Distribution_Groups xmlns="b1d1c72f-716d-4cc6-84ca-0b0b85e82bb2" xsi:nil="true"/>
    <Self_Registration_Enabled xmlns="b1d1c72f-716d-4cc6-84ca-0b0b85e82bb2" xsi:nil="true"/>
    <Has_Leaders_Only_SectionGroup xmlns="b1d1c72f-716d-4cc6-84ca-0b0b85e82bb2" xsi:nil="true"/>
    <DefaultSectionNames xmlns="b1d1c72f-716d-4cc6-84ca-0b0b85e82bb2" xsi:nil="true"/>
    <LMS_Mappings xmlns="b1d1c72f-716d-4cc6-84ca-0b0b85e82bb2" xsi:nil="true"/>
    <CultureName xmlns="b1d1c72f-716d-4cc6-84ca-0b0b85e82bb2" xsi:nil="true"/>
    <Leaders xmlns="b1d1c72f-716d-4cc6-84ca-0b0b85e82bb2">
      <UserInfo>
        <DisplayName/>
        <AccountId xsi:nil="true"/>
        <AccountType/>
      </UserInfo>
    </Leaders>
    <Has_Teacher_Only_SectionGroup xmlns="b1d1c72f-716d-4cc6-84ca-0b0b85e82bb2" xsi:nil="true"/>
    <Member_Groups xmlns="b1d1c72f-716d-4cc6-84ca-0b0b85e82bb2">
      <UserInfo>
        <DisplayName/>
        <AccountId xsi:nil="true"/>
        <AccountType/>
      </UserInfo>
    </Member_Groups>
    <IsNotebookLocked xmlns="b1d1c72f-716d-4cc6-84ca-0b0b85e82bb2" xsi:nil="true"/>
    <NotebookType xmlns="b1d1c72f-716d-4cc6-84ca-0b0b85e82bb2" xsi:nil="true"/>
    <Teachers xmlns="b1d1c72f-716d-4cc6-84ca-0b0b85e82bb2">
      <UserInfo>
        <DisplayName/>
        <AccountId xsi:nil="true"/>
        <AccountType/>
      </UserInfo>
    </Teachers>
    <Templates xmlns="b1d1c72f-716d-4cc6-84ca-0b0b85e82bb2" xsi:nil="true"/>
    <Members xmlns="b1d1c72f-716d-4cc6-84ca-0b0b85e82bb2">
      <UserInfo>
        <DisplayName/>
        <AccountId xsi:nil="true"/>
        <AccountType/>
      </UserInfo>
    </Members>
    <Is_Collaboration_Space_Locked xmlns="b1d1c72f-716d-4cc6-84ca-0b0b85e82bb2" xsi:nil="true"/>
    <Owner xmlns="b1d1c72f-716d-4cc6-84ca-0b0b85e82bb2">
      <UserInfo>
        <DisplayName/>
        <AccountId xsi:nil="true"/>
        <AccountType/>
      </UserInfo>
    </Owner>
    <Math_Settings xmlns="b1d1c72f-716d-4cc6-84ca-0b0b85e82bb2" xsi:nil="true"/>
    <AppVersion xmlns="b1d1c72f-716d-4cc6-84ca-0b0b85e82bb2" xsi:nil="true"/>
    <FolderType xmlns="b1d1c72f-716d-4cc6-84ca-0b0b85e82bb2" xsi:nil="true"/>
    <Student_Groups xmlns="b1d1c72f-716d-4cc6-84ca-0b0b85e82bb2">
      <UserInfo>
        <DisplayName/>
        <AccountId xsi:nil="true"/>
        <AccountType/>
      </UserInfo>
    </Student_Groups>
    <Invited_Members xmlns="b1d1c72f-716d-4cc6-84ca-0b0b85e82bb2" xsi:nil="true"/>
    <TeamsChannelId xmlns="b1d1c72f-716d-4cc6-84ca-0b0b85e82bb2" xsi:nil="true"/>
    <Invited_Teachers xmlns="b1d1c72f-716d-4cc6-84ca-0b0b85e82bb2" xsi:nil="true"/>
    <Invited_Students xmlns="b1d1c72f-716d-4cc6-84ca-0b0b85e82bb2" xsi:nil="true"/>
    <Invited_Leaders xmlns="b1d1c72f-716d-4cc6-84ca-0b0b85e82bb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70CB86FE5D0A34BB8FB2FE1AD407F00" ma:contentTypeVersion="40" ma:contentTypeDescription="Create a new document." ma:contentTypeScope="" ma:versionID="9d6be58369902c4212221a10aa6ccc4e">
  <xsd:schema xmlns:xsd="http://www.w3.org/2001/XMLSchema" xmlns:xs="http://www.w3.org/2001/XMLSchema" xmlns:p="http://schemas.microsoft.com/office/2006/metadata/properties" xmlns:ns3="b1d1c72f-716d-4cc6-84ca-0b0b85e82bb2" xmlns:ns4="1112aed2-7a6c-4a0e-93f5-609bafc2ed07" targetNamespace="http://schemas.microsoft.com/office/2006/metadata/properties" ma:root="true" ma:fieldsID="95c17568504bbb2c3f3f5df41084b421" ns3:_="" ns4:_="">
    <xsd:import namespace="b1d1c72f-716d-4cc6-84ca-0b0b85e82bb2"/>
    <xsd:import namespace="1112aed2-7a6c-4a0e-93f5-609bafc2ed07"/>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OCR" minOccurs="0"/>
                <xsd:element ref="ns4:SharedWithUsers" minOccurs="0"/>
                <xsd:element ref="ns4:SharedWithDetails" minOccurs="0"/>
                <xsd:element ref="ns4:SharingHintHash" minOccurs="0"/>
                <xsd:element ref="ns3:MediaServiceGenerationTime" minOccurs="0"/>
                <xsd:element ref="ns3:MediaServiceEventHashCode" minOccurs="0"/>
                <xsd:element ref="ns3:NotebookType" minOccurs="0"/>
                <xsd:element ref="ns3:FolderType" minOccurs="0"/>
                <xsd:element ref="ns3:CultureName" minOccurs="0"/>
                <xsd:element ref="ns3:AppVersion" minOccurs="0"/>
                <xsd:element ref="ns3:TeamsChannelId" minOccurs="0"/>
                <xsd:element ref="ns3:Owner" minOccurs="0"/>
                <xsd:element ref="ns3:Math_Settings" minOccurs="0"/>
                <xsd:element ref="ns3:DefaultSectionNames" minOccurs="0"/>
                <xsd:element ref="ns3:Templates" minOccurs="0"/>
                <xsd:element ref="ns3:Teachers" minOccurs="0"/>
                <xsd:element ref="ns3:Students" minOccurs="0"/>
                <xsd:element ref="ns3:Student_Groups" minOccurs="0"/>
                <xsd:element ref="ns3:Distribution_Groups" minOccurs="0"/>
                <xsd:element ref="ns3:LMS_Mappings" minOccurs="0"/>
                <xsd:element ref="ns3:Invited_Teachers" minOccurs="0"/>
                <xsd:element ref="ns3:Invited_Students" minOccurs="0"/>
                <xsd:element ref="ns3:Self_Registration_Enabled" minOccurs="0"/>
                <xsd:element ref="ns3:Has_Teacher_Only_SectionGroup" minOccurs="0"/>
                <xsd:element ref="ns3:Is_Collaboration_Space_Locked" minOccurs="0"/>
                <xsd:element ref="ns3:IsNotebookLocked" minOccurs="0"/>
                <xsd:element ref="ns3:Leaders" minOccurs="0"/>
                <xsd:element ref="ns3:Members" minOccurs="0"/>
                <xsd:element ref="ns3:Member_Groups" minOccurs="0"/>
                <xsd:element ref="ns3:Invited_Leaders" minOccurs="0"/>
                <xsd:element ref="ns3:Invited_Members" minOccurs="0"/>
                <xsd:element ref="ns3:Has_Leaders_Only_SectionGroup" minOccurs="0"/>
                <xsd:element ref="ns3:MediaServiceAutoKeyPoints" minOccurs="0"/>
                <xsd:element ref="ns3:MediaServiceKeyPoints"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d1c72f-716d-4cc6-84ca-0b0b85e82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NotebookType" ma:index="18" nillable="true" ma:displayName="Notebook Type" ma:internalName="NotebookType">
      <xsd:simpleType>
        <xsd:restriction base="dms:Text"/>
      </xsd:simpleType>
    </xsd:element>
    <xsd:element name="FolderType" ma:index="19" nillable="true" ma:displayName="Folder Type" ma:internalName="FolderType">
      <xsd:simpleType>
        <xsd:restriction base="dms:Text"/>
      </xsd:simpleType>
    </xsd:element>
    <xsd:element name="CultureName" ma:index="20" nillable="true" ma:displayName="Culture Name" ma:internalName="CultureName">
      <xsd:simpleType>
        <xsd:restriction base="dms:Text"/>
      </xsd:simpleType>
    </xsd:element>
    <xsd:element name="AppVersion" ma:index="21" nillable="true" ma:displayName="App Version" ma:internalName="AppVersion">
      <xsd:simpleType>
        <xsd:restriction base="dms:Text"/>
      </xsd:simpleType>
    </xsd:element>
    <xsd:element name="TeamsChannelId" ma:index="22" nillable="true" ma:displayName="Teams Channel Id" ma:internalName="TeamsChannelId">
      <xsd:simpleType>
        <xsd:restriction base="dms:Text"/>
      </xsd:simpleType>
    </xsd:element>
    <xsd:element name="Owner" ma:index="23"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h_Settings" ma:index="24" nillable="true" ma:displayName="Math Settings" ma:internalName="Math_Settings">
      <xsd:simpleType>
        <xsd:restriction base="dms:Text"/>
      </xsd:simpleType>
    </xsd:element>
    <xsd:element name="DefaultSectionNames" ma:index="25" nillable="true" ma:displayName="Default Section Names" ma:internalName="DefaultSectionNames">
      <xsd:simpleType>
        <xsd:restriction base="dms:Note">
          <xsd:maxLength value="255"/>
        </xsd:restriction>
      </xsd:simpleType>
    </xsd:element>
    <xsd:element name="Templates" ma:index="26" nillable="true" ma:displayName="Templates" ma:internalName="Templates">
      <xsd:simpleType>
        <xsd:restriction base="dms:Note">
          <xsd:maxLength value="255"/>
        </xsd:restriction>
      </xsd:simpleType>
    </xsd:element>
    <xsd:element name="Teachers" ma:index="27" nillable="true" ma:displayName="Teachers" ma:internalName="Teach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s" ma:index="28" nillable="true" ma:displayName="Students" ma:internalName="Student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_Groups" ma:index="29" nillable="true" ma:displayName="Student Groups" ma:internalName="Student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istribution_Groups" ma:index="30" nillable="true" ma:displayName="Distribution Groups" ma:internalName="Distribution_Groups">
      <xsd:simpleType>
        <xsd:restriction base="dms:Note">
          <xsd:maxLength value="255"/>
        </xsd:restriction>
      </xsd:simpleType>
    </xsd:element>
    <xsd:element name="LMS_Mappings" ma:index="31" nillable="true" ma:displayName="LMS Mappings" ma:internalName="LMS_Mappings">
      <xsd:simpleType>
        <xsd:restriction base="dms:Note">
          <xsd:maxLength value="255"/>
        </xsd:restriction>
      </xsd:simpleType>
    </xsd:element>
    <xsd:element name="Invited_Teachers" ma:index="32" nillable="true" ma:displayName="Invited Teachers" ma:internalName="Invited_Teachers">
      <xsd:simpleType>
        <xsd:restriction base="dms:Note">
          <xsd:maxLength value="255"/>
        </xsd:restriction>
      </xsd:simpleType>
    </xsd:element>
    <xsd:element name="Invited_Students" ma:index="33" nillable="true" ma:displayName="Invited Students" ma:internalName="Invited_Students">
      <xsd:simpleType>
        <xsd:restriction base="dms:Note">
          <xsd:maxLength value="255"/>
        </xsd:restriction>
      </xsd:simpleType>
    </xsd:element>
    <xsd:element name="Self_Registration_Enabled" ma:index="34" nillable="true" ma:displayName="Self Registration Enabled" ma:internalName="Self_Registration_Enabled">
      <xsd:simpleType>
        <xsd:restriction base="dms:Boolean"/>
      </xsd:simpleType>
    </xsd:element>
    <xsd:element name="Has_Teacher_Only_SectionGroup" ma:index="35" nillable="true" ma:displayName="Has Teacher Only SectionGroup" ma:internalName="Has_Teacher_Only_SectionGroup">
      <xsd:simpleType>
        <xsd:restriction base="dms:Boolean"/>
      </xsd:simpleType>
    </xsd:element>
    <xsd:element name="Is_Collaboration_Space_Locked" ma:index="36" nillable="true" ma:displayName="Is Collaboration Space Locked" ma:internalName="Is_Collaboration_Space_Locked">
      <xsd:simpleType>
        <xsd:restriction base="dms:Boolean"/>
      </xsd:simpleType>
    </xsd:element>
    <xsd:element name="IsNotebookLocked" ma:index="37" nillable="true" ma:displayName="Is Notebook Locked" ma:internalName="IsNotebookLocked">
      <xsd:simpleType>
        <xsd:restriction base="dms:Boolean"/>
      </xsd:simpleType>
    </xsd:element>
    <xsd:element name="Leaders" ma:index="38" nillable="true" ma:displayName="Leaders" ma:internalName="Lead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mbers" ma:index="39" nillable="true" ma:displayName="Members" ma:internalName="Memb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mber_Groups" ma:index="40" nillable="true" ma:displayName="Member Groups" ma:internalName="Member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Invited_Leaders" ma:index="41" nillable="true" ma:displayName="Invited Leaders" ma:internalName="Invited_Leaders">
      <xsd:simpleType>
        <xsd:restriction base="dms:Note">
          <xsd:maxLength value="255"/>
        </xsd:restriction>
      </xsd:simpleType>
    </xsd:element>
    <xsd:element name="Invited_Members" ma:index="42" nillable="true" ma:displayName="Invited Members" ma:internalName="Invited_Members">
      <xsd:simpleType>
        <xsd:restriction base="dms:Note">
          <xsd:maxLength value="255"/>
        </xsd:restriction>
      </xsd:simpleType>
    </xsd:element>
    <xsd:element name="Has_Leaders_Only_SectionGroup" ma:index="43" nillable="true" ma:displayName="Has Leaders Only SectionGroup" ma:internalName="Has_Leaders_Only_SectionGroup">
      <xsd:simpleType>
        <xsd:restriction base="dms:Boolean"/>
      </xsd:simpleType>
    </xsd:element>
    <xsd:element name="MediaServiceAutoKeyPoints" ma:index="44" nillable="true" ma:displayName="MediaServiceAutoKeyPoints" ma:hidden="true" ma:internalName="MediaServiceAutoKeyPoints" ma:readOnly="true">
      <xsd:simpleType>
        <xsd:restriction base="dms:Note"/>
      </xsd:simpleType>
    </xsd:element>
    <xsd:element name="MediaServiceKeyPoints" ma:index="45" nillable="true" ma:displayName="KeyPoints" ma:internalName="MediaServiceKeyPoints" ma:readOnly="true">
      <xsd:simpleType>
        <xsd:restriction base="dms:Note">
          <xsd:maxLength value="255"/>
        </xsd:restriction>
      </xsd:simpleType>
    </xsd:element>
    <xsd:element name="MediaServiceLocation" ma:index="46" nillable="true" ma:displayName="Location" ma:internalName="MediaServiceLocation" ma:readOnly="true">
      <xsd:simpleType>
        <xsd:restriction base="dms:Text"/>
      </xsd:simpleType>
    </xsd:element>
    <xsd:element name="MediaLengthInSeconds" ma:index="47"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112aed2-7a6c-4a0e-93f5-609bafc2ed07"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876C5A5-1FF0-49B8-BD5A-6B77FA24F294}">
  <ds:schemaRefs>
    <ds:schemaRef ds:uri="http://schemas.microsoft.com/office/infopath/2007/PartnerControls"/>
    <ds:schemaRef ds:uri="http://purl.org/dc/elements/1.1/"/>
    <ds:schemaRef ds:uri="http://schemas.microsoft.com/office/2006/metadata/properties"/>
    <ds:schemaRef ds:uri="1112aed2-7a6c-4a0e-93f5-609bafc2ed07"/>
    <ds:schemaRef ds:uri="http://purl.org/dc/terms/"/>
    <ds:schemaRef ds:uri="http://schemas.openxmlformats.org/package/2006/metadata/core-properties"/>
    <ds:schemaRef ds:uri="b1d1c72f-716d-4cc6-84ca-0b0b85e82bb2"/>
    <ds:schemaRef ds:uri="http://schemas.microsoft.com/office/2006/documentManagement/types"/>
    <ds:schemaRef ds:uri="http://www.w3.org/XML/1998/namespace"/>
    <ds:schemaRef ds:uri="http://purl.org/dc/dcmitype/"/>
  </ds:schemaRefs>
</ds:datastoreItem>
</file>

<file path=customXml/itemProps2.xml><?xml version="1.0" encoding="utf-8"?>
<ds:datastoreItem xmlns:ds="http://schemas.openxmlformats.org/officeDocument/2006/customXml" ds:itemID="{842E1DCE-3D45-413A-9DBA-B08C7D137104}">
  <ds:schemaRefs>
    <ds:schemaRef ds:uri="http://schemas.microsoft.com/sharepoint/v3/contenttype/forms"/>
  </ds:schemaRefs>
</ds:datastoreItem>
</file>

<file path=customXml/itemProps3.xml><?xml version="1.0" encoding="utf-8"?>
<ds:datastoreItem xmlns:ds="http://schemas.openxmlformats.org/officeDocument/2006/customXml" ds:itemID="{B8B6FA3E-6A85-48BB-863F-E0A3CC9D4A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d1c72f-716d-4cc6-84ca-0b0b85e82bb2"/>
    <ds:schemaRef ds:uri="1112aed2-7a6c-4a0e-93f5-609bafc2ed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Data Part B</vt:lpstr>
      <vt:lpstr>Result Part B</vt:lpstr>
      <vt:lpstr>'Data Part B'!Print_Area</vt:lpstr>
    </vt:vector>
  </TitlesOfParts>
  <Company>RIT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A. Williams</dc:creator>
  <cp:lastModifiedBy>Zheng Haur Lim</cp:lastModifiedBy>
  <cp:lastPrinted>1998-12-16T21:05:30Z</cp:lastPrinted>
  <dcterms:created xsi:type="dcterms:W3CDTF">1998-12-11T01:55:55Z</dcterms:created>
  <dcterms:modified xsi:type="dcterms:W3CDTF">2022-04-08T07:13:13Z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0x010100170CB86FE5D0A34BB8FB2FE1AD407F00</vt:lpwstr>
  </property>
</Properties>
</file>